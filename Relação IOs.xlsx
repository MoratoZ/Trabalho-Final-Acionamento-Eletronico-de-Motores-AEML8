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528e9ce8565c2f/Documentos/^N IFSP/Acionamento Eletrônico de Motores/Trabalho Final/"/>
    </mc:Choice>
  </mc:AlternateContent>
  <xr:revisionPtr revIDLastSave="336" documentId="8_{1EC70BEA-AF43-4450-B190-D45E00A70A47}" xr6:coauthVersionLast="47" xr6:coauthVersionMax="47" xr10:uidLastSave="{7F551683-E09D-455A-83AE-1DE6E00A6BF3}"/>
  <bookViews>
    <workbookView xWindow="384" yWindow="384" windowWidth="17280" windowHeight="8964" xr2:uid="{BE98557C-805D-4061-9549-89B2DDDBC5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18" i="1"/>
  <c r="M5" i="1"/>
  <c r="M6" i="1"/>
  <c r="M7" i="1"/>
  <c r="M8" i="1"/>
  <c r="M26" i="1"/>
  <c r="M10" i="1"/>
  <c r="M11" i="1"/>
  <c r="M12" i="1"/>
  <c r="M13" i="1"/>
  <c r="M14" i="1"/>
  <c r="M27" i="1"/>
  <c r="M16" i="1"/>
  <c r="M17" i="1"/>
  <c r="M28" i="1"/>
  <c r="M19" i="1"/>
  <c r="M20" i="1"/>
  <c r="M21" i="1"/>
  <c r="M22" i="1"/>
  <c r="K2" i="1"/>
  <c r="K3" i="1"/>
  <c r="K18" i="1"/>
  <c r="K5" i="1"/>
  <c r="K6" i="1"/>
  <c r="K7" i="1"/>
  <c r="K8" i="1"/>
  <c r="K26" i="1"/>
  <c r="K10" i="1"/>
  <c r="K11" i="1"/>
  <c r="K12" i="1"/>
  <c r="K13" i="1"/>
  <c r="K14" i="1"/>
  <c r="K27" i="1"/>
  <c r="K16" i="1"/>
  <c r="K17" i="1"/>
  <c r="K28" i="1"/>
  <c r="K19" i="1"/>
  <c r="K20" i="1"/>
  <c r="K21" i="1"/>
  <c r="K22" i="1"/>
  <c r="K23" i="1"/>
  <c r="K24" i="1"/>
  <c r="K4" i="1"/>
  <c r="K9" i="1"/>
  <c r="K15" i="1"/>
  <c r="K29" i="1"/>
  <c r="K30" i="1"/>
  <c r="K31" i="1"/>
  <c r="K25" i="1"/>
  <c r="K32" i="1"/>
  <c r="K33" i="1"/>
  <c r="K34" i="1"/>
  <c r="K35" i="1"/>
  <c r="K36" i="1"/>
  <c r="K37" i="1"/>
  <c r="K38" i="1"/>
  <c r="K39" i="1"/>
  <c r="K40" i="1"/>
  <c r="K41" i="1"/>
  <c r="K42" i="1"/>
  <c r="K43" i="1"/>
  <c r="I2" i="1"/>
  <c r="I3" i="1"/>
  <c r="I18" i="1"/>
  <c r="I5" i="1"/>
  <c r="I6" i="1"/>
  <c r="I7" i="1"/>
  <c r="I8" i="1"/>
  <c r="I26" i="1"/>
  <c r="I10" i="1"/>
  <c r="I11" i="1"/>
  <c r="I12" i="1"/>
  <c r="I13" i="1"/>
  <c r="I14" i="1"/>
  <c r="I27" i="1"/>
  <c r="I16" i="1"/>
  <c r="I17" i="1"/>
  <c r="I28" i="1"/>
  <c r="I19" i="1"/>
  <c r="I20" i="1"/>
  <c r="I21" i="1"/>
  <c r="I22" i="1"/>
  <c r="I23" i="1"/>
  <c r="I24" i="1"/>
  <c r="I4" i="1"/>
  <c r="I9" i="1"/>
  <c r="I15" i="1"/>
  <c r="I29" i="1"/>
  <c r="I30" i="1"/>
  <c r="I31" i="1"/>
  <c r="I25" i="1"/>
  <c r="I32" i="1"/>
  <c r="I33" i="1"/>
  <c r="I34" i="1"/>
  <c r="I35" i="1"/>
  <c r="I36" i="1"/>
  <c r="I37" i="1"/>
  <c r="I38" i="1"/>
  <c r="I39" i="1"/>
  <c r="I40" i="1"/>
  <c r="I41" i="1"/>
  <c r="I42" i="1"/>
  <c r="I43" i="1"/>
  <c r="H23" i="1"/>
  <c r="H24" i="1"/>
  <c r="H4" i="1"/>
  <c r="H9" i="1"/>
  <c r="H15" i="1"/>
  <c r="H29" i="1"/>
  <c r="H30" i="1"/>
  <c r="H31" i="1"/>
  <c r="H2" i="1"/>
  <c r="H3" i="1"/>
  <c r="H18" i="1"/>
  <c r="H25" i="1"/>
  <c r="H32" i="1"/>
  <c r="H5" i="1"/>
  <c r="H6" i="1"/>
  <c r="H7" i="1"/>
  <c r="H33" i="1"/>
  <c r="H8" i="1"/>
  <c r="H38" i="1"/>
  <c r="H39" i="1"/>
  <c r="H26" i="1"/>
  <c r="H10" i="1"/>
  <c r="H34" i="1"/>
  <c r="H11" i="1"/>
  <c r="H12" i="1"/>
  <c r="H13" i="1"/>
  <c r="H14" i="1"/>
  <c r="H40" i="1"/>
  <c r="H27" i="1"/>
  <c r="H35" i="1"/>
  <c r="H16" i="1"/>
  <c r="H17" i="1"/>
  <c r="H36" i="1"/>
  <c r="H41" i="1"/>
  <c r="H42" i="1"/>
  <c r="H28" i="1"/>
  <c r="H37" i="1"/>
  <c r="H19" i="1"/>
  <c r="H20" i="1"/>
  <c r="H21" i="1"/>
  <c r="H22" i="1"/>
  <c r="H43" i="1"/>
  <c r="F43" i="1"/>
  <c r="M43" i="1" s="1"/>
  <c r="F22" i="1"/>
  <c r="J22" i="1" s="1"/>
  <c r="L22" i="1" s="1"/>
  <c r="F21" i="1"/>
  <c r="J21" i="1" s="1"/>
  <c r="L21" i="1" s="1"/>
  <c r="F20" i="1"/>
  <c r="J20" i="1" s="1"/>
  <c r="L20" i="1" s="1"/>
  <c r="F19" i="1"/>
  <c r="J19" i="1" s="1"/>
  <c r="L19" i="1" s="1"/>
  <c r="F37" i="1"/>
  <c r="J37" i="1" s="1"/>
  <c r="L37" i="1" s="1"/>
  <c r="F28" i="1"/>
  <c r="J28" i="1" s="1"/>
  <c r="L28" i="1" s="1"/>
  <c r="F42" i="1"/>
  <c r="M42" i="1" s="1"/>
  <c r="F41" i="1"/>
  <c r="M41" i="1" s="1"/>
  <c r="F36" i="1"/>
  <c r="J36" i="1" s="1"/>
  <c r="L36" i="1" s="1"/>
  <c r="F17" i="1"/>
  <c r="J17" i="1" s="1"/>
  <c r="L17" i="1" s="1"/>
  <c r="F16" i="1"/>
  <c r="J16" i="1" s="1"/>
  <c r="L16" i="1" s="1"/>
  <c r="F35" i="1"/>
  <c r="M35" i="1" s="1"/>
  <c r="F27" i="1"/>
  <c r="J27" i="1" s="1"/>
  <c r="L27" i="1" s="1"/>
  <c r="F40" i="1"/>
  <c r="J40" i="1" s="1"/>
  <c r="L40" i="1" s="1"/>
  <c r="F14" i="1"/>
  <c r="J14" i="1" s="1"/>
  <c r="L14" i="1" s="1"/>
  <c r="F13" i="1"/>
  <c r="J13" i="1" s="1"/>
  <c r="L13" i="1" s="1"/>
  <c r="F12" i="1"/>
  <c r="J12" i="1" s="1"/>
  <c r="L12" i="1" s="1"/>
  <c r="F11" i="1"/>
  <c r="J11" i="1" s="1"/>
  <c r="L11" i="1" s="1"/>
  <c r="F34" i="1"/>
  <c r="M34" i="1" s="1"/>
  <c r="F10" i="1"/>
  <c r="J10" i="1" s="1"/>
  <c r="L10" i="1" s="1"/>
  <c r="F26" i="1"/>
  <c r="J26" i="1" s="1"/>
  <c r="L26" i="1" s="1"/>
  <c r="F39" i="1"/>
  <c r="M39" i="1" s="1"/>
  <c r="F38" i="1"/>
  <c r="M38" i="1" s="1"/>
  <c r="F8" i="1"/>
  <c r="J8" i="1" s="1"/>
  <c r="L8" i="1" s="1"/>
  <c r="F33" i="1"/>
  <c r="M33" i="1" s="1"/>
  <c r="F7" i="1"/>
  <c r="J7" i="1" s="1"/>
  <c r="L7" i="1" s="1"/>
  <c r="F6" i="1"/>
  <c r="J6" i="1" s="1"/>
  <c r="L6" i="1" s="1"/>
  <c r="F5" i="1"/>
  <c r="J5" i="1" s="1"/>
  <c r="L5" i="1" s="1"/>
  <c r="F32" i="1"/>
  <c r="M32" i="1" s="1"/>
  <c r="F25" i="1"/>
  <c r="M25" i="1" s="1"/>
  <c r="F18" i="1"/>
  <c r="J18" i="1" s="1"/>
  <c r="L18" i="1" s="1"/>
  <c r="F3" i="1"/>
  <c r="J3" i="1" s="1"/>
  <c r="L3" i="1" s="1"/>
  <c r="F2" i="1"/>
  <c r="J2" i="1" s="1"/>
  <c r="L2" i="1" s="1"/>
  <c r="F31" i="1"/>
  <c r="M31" i="1" s="1"/>
  <c r="F30" i="1"/>
  <c r="M30" i="1" s="1"/>
  <c r="F29" i="1"/>
  <c r="M29" i="1" s="1"/>
  <c r="F15" i="1"/>
  <c r="M15" i="1" s="1"/>
  <c r="F9" i="1"/>
  <c r="M9" i="1" s="1"/>
  <c r="F4" i="1"/>
  <c r="M4" i="1" s="1"/>
  <c r="F24" i="1"/>
  <c r="M24" i="1" s="1"/>
  <c r="F23" i="1"/>
  <c r="M23" i="1" s="1"/>
  <c r="E23" i="1"/>
  <c r="E24" i="1"/>
  <c r="E4" i="1"/>
  <c r="E9" i="1"/>
  <c r="E15" i="1"/>
  <c r="E29" i="1"/>
  <c r="E30" i="1"/>
  <c r="E31" i="1"/>
  <c r="E2" i="1"/>
  <c r="E3" i="1"/>
  <c r="E18" i="1"/>
  <c r="E25" i="1"/>
  <c r="E32" i="1"/>
  <c r="E5" i="1"/>
  <c r="E6" i="1"/>
  <c r="E7" i="1"/>
  <c r="E33" i="1"/>
  <c r="E8" i="1"/>
  <c r="E38" i="1"/>
  <c r="E39" i="1"/>
  <c r="E26" i="1"/>
  <c r="E10" i="1"/>
  <c r="E34" i="1"/>
  <c r="E11" i="1"/>
  <c r="E12" i="1"/>
  <c r="E13" i="1"/>
  <c r="E14" i="1"/>
  <c r="E40" i="1"/>
  <c r="E27" i="1"/>
  <c r="E35" i="1"/>
  <c r="E16" i="1"/>
  <c r="E17" i="1"/>
  <c r="E36" i="1"/>
  <c r="E41" i="1"/>
  <c r="E42" i="1"/>
  <c r="E28" i="1"/>
  <c r="E37" i="1"/>
  <c r="E19" i="1"/>
  <c r="E20" i="1"/>
  <c r="E21" i="1"/>
  <c r="E22" i="1"/>
  <c r="E43" i="1"/>
  <c r="J29" i="1" l="1"/>
  <c r="L29" i="1" s="1"/>
  <c r="J24" i="1"/>
  <c r="L24" i="1" s="1"/>
  <c r="J41" i="1"/>
  <c r="L41" i="1" s="1"/>
  <c r="J33" i="1"/>
  <c r="L33" i="1" s="1"/>
  <c r="M37" i="1"/>
  <c r="J32" i="1"/>
  <c r="L32" i="1" s="1"/>
  <c r="M36" i="1"/>
  <c r="J4" i="1"/>
  <c r="L4" i="1" s="1"/>
  <c r="M40" i="1"/>
  <c r="J39" i="1"/>
  <c r="L39" i="1" s="1"/>
  <c r="J25" i="1"/>
  <c r="L25" i="1" s="1"/>
  <c r="J23" i="1"/>
  <c r="L23" i="1" s="1"/>
  <c r="J38" i="1"/>
  <c r="L38" i="1" s="1"/>
  <c r="J31" i="1"/>
  <c r="L31" i="1" s="1"/>
  <c r="J30" i="1"/>
  <c r="L30" i="1" s="1"/>
  <c r="J43" i="1"/>
  <c r="L43" i="1" s="1"/>
  <c r="J35" i="1"/>
  <c r="L35" i="1" s="1"/>
  <c r="J15" i="1"/>
  <c r="L15" i="1" s="1"/>
  <c r="J42" i="1"/>
  <c r="L42" i="1" s="1"/>
  <c r="J34" i="1"/>
  <c r="L34" i="1" s="1"/>
  <c r="J9" i="1"/>
  <c r="L9" i="1" s="1"/>
</calcChain>
</file>

<file path=xl/sharedStrings.xml><?xml version="1.0" encoding="utf-8"?>
<sst xmlns="http://schemas.openxmlformats.org/spreadsheetml/2006/main" count="181" uniqueCount="82">
  <si>
    <t>Chave</t>
  </si>
  <si>
    <t>EMERGENCIA</t>
  </si>
  <si>
    <t>Geral_Desliga</t>
  </si>
  <si>
    <t>Geral_Liga</t>
  </si>
  <si>
    <t>M1_K1_Direta</t>
  </si>
  <si>
    <t>M1_K2_Estrela</t>
  </si>
  <si>
    <t>M1_K3_Triangulo</t>
  </si>
  <si>
    <t>M1_Tempo</t>
  </si>
  <si>
    <t>M1_Timer</t>
  </si>
  <si>
    <t>M2_Rele</t>
  </si>
  <si>
    <t>M2_SN_TanqueA</t>
  </si>
  <si>
    <t>M2_SoftStarter</t>
  </si>
  <si>
    <t>M2_Tempo</t>
  </si>
  <si>
    <t>M2_Timer</t>
  </si>
  <si>
    <t>M3_Dir</t>
  </si>
  <si>
    <t>M3_GiraPara</t>
  </si>
  <si>
    <t>M3_Ligado</t>
  </si>
  <si>
    <t>M3_Ref</t>
  </si>
  <si>
    <t>M3_Rele</t>
  </si>
  <si>
    <t>M3_Rev</t>
  </si>
  <si>
    <t>M3_RevOut</t>
  </si>
  <si>
    <t>M3_Vout</t>
  </si>
  <si>
    <t>M4_Rele</t>
  </si>
  <si>
    <t>M4_SoftStarter</t>
  </si>
  <si>
    <t>M4_Tempo</t>
  </si>
  <si>
    <t>M4_Timer</t>
  </si>
  <si>
    <t>M5_GiraPara</t>
  </si>
  <si>
    <t>M5_Ref</t>
  </si>
  <si>
    <t>M5_RevOut</t>
  </si>
  <si>
    <t>M5_TimerOff</t>
  </si>
  <si>
    <t>M5_TimerRev</t>
  </si>
  <si>
    <t>M5_Vout</t>
  </si>
  <si>
    <t>Variável</t>
  </si>
  <si>
    <t>Tipo</t>
  </si>
  <si>
    <t>Entrada/Saída</t>
  </si>
  <si>
    <t>Comunicação</t>
  </si>
  <si>
    <t>DigitalInputs.I00</t>
  </si>
  <si>
    <t>-</t>
  </si>
  <si>
    <t>AnalogInputs.AI3</t>
  </si>
  <si>
    <t>DigitalInputs.I01</t>
  </si>
  <si>
    <t>DigitalOutputs.Q00</t>
  </si>
  <si>
    <t>DigitalOutputs.Q01</t>
  </si>
  <si>
    <t>DigitalOutputs.Q02</t>
  </si>
  <si>
    <t>DigitalInputs.I02</t>
  </si>
  <si>
    <t>DigitalOutputs.Q04</t>
  </si>
  <si>
    <t>DigitalOutputs.Q06</t>
  </si>
  <si>
    <t>DigitalInputs.I03</t>
  </si>
  <si>
    <t>AnalogOutputs.AO3</t>
  </si>
  <si>
    <t>AnalogOutputs.AO2</t>
  </si>
  <si>
    <t>DigitalInputs.I04</t>
  </si>
  <si>
    <t>M3_TimerDirRev</t>
  </si>
  <si>
    <t>M3_TimerDirRev_Tempo</t>
  </si>
  <si>
    <t>M3_TimerRevStop</t>
  </si>
  <si>
    <t>M3_TimerRevStop_Tempo</t>
  </si>
  <si>
    <t>M5_TimerRev_Tempo</t>
  </si>
  <si>
    <t>M5_TimerOff_Tempo</t>
  </si>
  <si>
    <t>M5_Rele</t>
  </si>
  <si>
    <t>DigitalInputs.I05</t>
  </si>
  <si>
    <t>DigitalInputs.I06</t>
  </si>
  <si>
    <t>DigitalOutputs.Q03</t>
  </si>
  <si>
    <t>DigitalOutputs.Q10</t>
  </si>
  <si>
    <t>DigitalOutputs.Q11</t>
  </si>
  <si>
    <t>Variável de Valor</t>
  </si>
  <si>
    <t>Tipo do Dado</t>
  </si>
  <si>
    <t>Endereço Inicial do Dado</t>
  </si>
  <si>
    <t>Leitura</t>
  </si>
  <si>
    <t>Escrita + Leitura</t>
  </si>
  <si>
    <t>M3_Ref_Remote</t>
  </si>
  <si>
    <t>M5_Ref_Remote</t>
  </si>
  <si>
    <t>List</t>
  </si>
  <si>
    <t>BOOL</t>
  </si>
  <si>
    <t>TIME</t>
  </si>
  <si>
    <t>TON</t>
  </si>
  <si>
    <t>INT</t>
  </si>
  <si>
    <t>Nome
(Marcação)</t>
  </si>
  <si>
    <t>Tipo de dados
(Marcação)</t>
  </si>
  <si>
    <t>Direitos de acesso
(Marcação)</t>
  </si>
  <si>
    <t>Tipo de dados
(Controladores)</t>
  </si>
  <si>
    <t>Controller1
(Controladores)</t>
  </si>
  <si>
    <t>AnalogInputs.AI4</t>
  </si>
  <si>
    <t>CTRL_Local</t>
  </si>
  <si>
    <t>DigitalOutputs.Q05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</si>
</sst>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20DF1-B1A9-434B-9B51-1C26144F2EFD}" name="Tabela1" displayName="Tabela1" ref="A1:M43" totalsRowShown="0" headerRowDxfId="14" dataDxfId="13">
  <autoFilter ref="A1:M43" xr:uid="{39120DF1-B1A9-434B-9B51-1C26144F2EFD}">
    <filterColumn colId="2">
      <filters>
        <filter val="AnalogInputs.AI3"/>
        <filter val="AnalogInputs.AI4"/>
        <filter val="AnalogOutputs.AO2"/>
        <filter val="AnalogOutputs.AO3"/>
        <filter val="DigitalInputs.I00"/>
        <filter val="DigitalInputs.I01"/>
        <filter val="DigitalInputs.I02"/>
        <filter val="DigitalInputs.I03"/>
        <filter val="DigitalInputs.I04"/>
        <filter val="DigitalInputs.I05"/>
        <filter val="DigitalInputs.I06"/>
        <filter val="DigitalOutputs.Q00"/>
        <filter val="DigitalOutputs.Q01"/>
        <filter val="DigitalOutputs.Q02"/>
        <filter val="DigitalOutputs.Q03"/>
        <filter val="DigitalOutputs.Q04"/>
        <filter val="DigitalOutputs.Q06"/>
        <filter val="DigitalOutputs.Q07"/>
        <filter val="DigitalOutputs.Q10"/>
        <filter val="DigitalOutputs.Q11"/>
      </filters>
    </filterColumn>
  </autoFilter>
  <sortState xmlns:xlrd2="http://schemas.microsoft.com/office/spreadsheetml/2017/richdata2" ref="A4:M37">
    <sortCondition ref="C1:C43"/>
  </sortState>
  <tableColumns count="13">
    <tableColumn id="1" xr3:uid="{D7CB6C5A-1F5D-49BC-B85F-04C0E650388D}" name="Variável" dataDxfId="12"/>
    <tableColumn id="2" xr3:uid="{358E3FBA-A746-49E4-9F85-74C3F9CCB014}" name="Tipo" dataDxfId="11"/>
    <tableColumn id="3" xr3:uid="{FEE76674-2E43-4601-A5F6-08AF782E8E84}" name="Entrada/Saída" dataDxfId="10"/>
    <tableColumn id="4" xr3:uid="{1EE91034-F7E9-44A2-96E2-B9F16F41FEC3}" name="Comunicação" dataDxfId="9"/>
    <tableColumn id="5" xr3:uid="{536E8180-5E08-4FE0-9569-03711EBAC779}" name="Variável de Valor" dataDxfId="8">
      <calculatedColumnFormula>IF(Tabela1[[#This Row],[Comunicação]]="-","",CONCATENATE("UserPrg.",Tabela1[[#This Row],[Variável]]))</calculatedColumnFormula>
    </tableColumn>
    <tableColumn id="6" xr3:uid="{7AF52029-E949-423D-A554-E68E546226B4}" name="Tipo do Dado" dataDxfId="7">
      <calculatedColumnFormula>IF(Tabela1[[#This Row],[Comunicação]]="-","",IF(Tabela1[[#This Row],[Tipo]]="BOOL","Coil","Holding Register"))</calculatedColumnFormula>
    </tableColumn>
    <tableColumn id="7" xr3:uid="{3D596E39-D1A3-4D63-80A4-49C2BC7690DD}" name="Endereço Inicial do Dado" dataDxfId="6"/>
    <tableColumn id="9" xr3:uid="{C3975A03-53A5-45AE-91A9-7989E6650404}" name="List" dataDxfId="5">
      <calculatedColumnFormula>CONCATENATE("	",Tabela1[[#This Row],[Variável]],": ",Tabela1[[#This Row],[Tipo]],";")</calculatedColumnFormula>
    </tableColumn>
    <tableColumn id="11" xr3:uid="{9F8ED63E-5BC2-47B0-918B-CBD51BD6614C}" name="Nome_x000a_(Marcação)" dataDxfId="4">
      <calculatedColumnFormula>IF(Tabela1[[#This Row],[Comunicação]]="-","",Tabela1[[#This Row],[Variável]])</calculatedColumnFormula>
    </tableColumn>
    <tableColumn id="12" xr3:uid="{CA6D5D61-E5F5-4333-84B6-938ECC0A17F9}" name="Tipo de dados_x000a_(Marcação)" dataDxfId="3">
      <calculatedColumnFormula>IF(Tabela1[[#This Row],[Tipo do Dado]]="Coil","BOOL",IF(Tabela1[[#This Row],[Tipo do Dado]]="Holding Register","INT16",""))</calculatedColumnFormula>
    </tableColumn>
    <tableColumn id="13" xr3:uid="{B6573D53-9195-4DFD-875D-CA912F51FD70}" name="Direitos de acesso_x000a_(Marcação)" dataDxfId="2">
      <calculatedColumnFormula>IF(Tabela1[[#This Row],[Comunicação]]="Leitura","Read",IF(Tabela1[[#This Row],[Comunicação]]="Escrita + Leitura","ReadWrite",""))</calculatedColumnFormula>
    </tableColumn>
    <tableColumn id="14" xr3:uid="{C058D806-A78C-4C6E-87C9-B6B4148CF496}" name="Tipo de dados_x000a_(Controladores)" dataDxfId="1">
      <calculatedColumnFormula>Tabela1[[#This Row],[Tipo de dados
(Marcação)]]</calculatedColumnFormula>
    </tableColumn>
    <tableColumn id="15" xr3:uid="{3E745DEF-9E91-4C2A-9211-3BEC37E78284}" name="Controller1_x000a_(Controladores)" dataDxfId="0">
      <calculatedColumnFormula>IF(Tabela1[[#This Row],[Comunicação]]="-","",CONCATENATE("1:",IF(Tabela1[[#This Row],[Tipo do Dado]]="Coil","0000","4000"),IF(Tabela1[[#This Row],[Endereço Inicial do Dado]]&lt;10,"0",""),Tabela1[[#This Row],[Endereço Inicial do Dado]]))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B267-F158-4644-B68E-DE177916A564}">
  <dimension ref="A1:M43"/>
  <sheetViews>
    <sheetView tabSelected="1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C35" sqref="C35"/>
    </sheetView>
  </sheetViews>
  <sheetFormatPr defaultRowHeight="15.6" x14ac:dyDescent="0.3"/>
  <cols>
    <col min="1" max="1" width="25.109375" style="1" bestFit="1" customWidth="1"/>
    <col min="2" max="2" width="9.33203125" style="1" bestFit="1" customWidth="1"/>
    <col min="3" max="3" width="18.77734375" style="1" bestFit="1" customWidth="1"/>
    <col min="4" max="4" width="18.44140625" style="1" bestFit="1" customWidth="1"/>
    <col min="5" max="5" width="31.88671875" style="1" bestFit="1" customWidth="1"/>
    <col min="6" max="6" width="17.5546875" style="1" bestFit="1" customWidth="1"/>
    <col min="7" max="7" width="17.5546875" style="1" customWidth="1"/>
    <col min="8" max="8" width="31.5546875" style="1" bestFit="1" customWidth="1"/>
    <col min="9" max="9" width="24.109375" style="1" bestFit="1" customWidth="1"/>
    <col min="10" max="10" width="18.33203125" style="1" bestFit="1" customWidth="1"/>
    <col min="11" max="11" width="22.5546875" style="1" bestFit="1" customWidth="1"/>
    <col min="12" max="12" width="18.21875" style="1" customWidth="1"/>
    <col min="13" max="13" width="31.77734375" style="1" bestFit="1" customWidth="1"/>
    <col min="14" max="16384" width="8.88671875" style="1"/>
  </cols>
  <sheetData>
    <row r="1" spans="1:13" ht="40.200000000000003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62</v>
      </c>
      <c r="F1" s="6" t="s">
        <v>63</v>
      </c>
      <c r="G1" s="6" t="s">
        <v>64</v>
      </c>
      <c r="H1" s="6" t="s">
        <v>69</v>
      </c>
      <c r="I1" s="6" t="s">
        <v>74</v>
      </c>
      <c r="J1" s="6" t="s">
        <v>75</v>
      </c>
      <c r="K1" s="6" t="s">
        <v>76</v>
      </c>
      <c r="L1" s="6" t="s">
        <v>77</v>
      </c>
      <c r="M1" s="6" t="s">
        <v>78</v>
      </c>
    </row>
    <row r="2" spans="1:13" hidden="1" x14ac:dyDescent="0.3">
      <c r="A2" s="4" t="s">
        <v>7</v>
      </c>
      <c r="B2" s="2" t="s">
        <v>71</v>
      </c>
      <c r="C2" s="3" t="s">
        <v>37</v>
      </c>
      <c r="D2" s="3" t="s">
        <v>37</v>
      </c>
      <c r="E2" s="3" t="str">
        <f>IF(Tabela1[[#This Row],[Comunicação]]="-","",CONCATENATE("UserPrg.",Tabela1[[#This Row],[Variável]]))</f>
        <v/>
      </c>
      <c r="F2" s="3" t="str">
        <f>IF(Tabela1[[#This Row],[Comunicação]]="-","",IF(Tabela1[[#This Row],[Tipo]]="BOOL","Coil","Holding Register"))</f>
        <v/>
      </c>
      <c r="G2" s="3"/>
      <c r="H2" s="5" t="str">
        <f>CONCATENATE("	",Tabela1[[#This Row],[Variável]],": ",Tabela1[[#This Row],[Tipo]],";")</f>
        <v xml:space="preserve">	M1_Tempo: TIME;</v>
      </c>
      <c r="I2" s="3" t="str">
        <f>IF(Tabela1[[#This Row],[Comunicação]]="-","",Tabela1[[#This Row],[Variável]])</f>
        <v/>
      </c>
      <c r="J2" s="3" t="str">
        <f>IF(Tabela1[[#This Row],[Tipo do Dado]]="Coil","BOOL",IF(Tabela1[[#This Row],[Tipo do Dado]]="Holding Register","INT16",""))</f>
        <v/>
      </c>
      <c r="K2" s="3" t="str">
        <f>IF(Tabela1[[#This Row],[Comunicação]]="Leitura","Read",IF(Tabela1[[#This Row],[Comunicação]]="Escrita + Leitura","ReadWrite",""))</f>
        <v/>
      </c>
      <c r="L2" s="3" t="str">
        <f>Tabela1[[#This Row],[Tipo de dados
(Marcação)]]</f>
        <v/>
      </c>
      <c r="M2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3" spans="1:13" hidden="1" x14ac:dyDescent="0.3">
      <c r="A3" s="4" t="s">
        <v>8</v>
      </c>
      <c r="B3" s="2" t="s">
        <v>72</v>
      </c>
      <c r="C3" s="3" t="s">
        <v>37</v>
      </c>
      <c r="D3" s="3" t="s">
        <v>37</v>
      </c>
      <c r="E3" s="3" t="str">
        <f>IF(Tabela1[[#This Row],[Comunicação]]="-","",CONCATENATE("UserPrg.",Tabela1[[#This Row],[Variável]]))</f>
        <v/>
      </c>
      <c r="F3" s="3" t="str">
        <f>IF(Tabela1[[#This Row],[Comunicação]]="-","",IF(Tabela1[[#This Row],[Tipo]]="BOOL","Coil","Holding Register"))</f>
        <v/>
      </c>
      <c r="G3" s="3"/>
      <c r="H3" s="5" t="str">
        <f>CONCATENATE("	",Tabela1[[#This Row],[Variável]],": ",Tabela1[[#This Row],[Tipo]],";")</f>
        <v xml:space="preserve">	M1_Timer: TON;</v>
      </c>
      <c r="I3" s="3" t="str">
        <f>IF(Tabela1[[#This Row],[Comunicação]]="-","",Tabela1[[#This Row],[Variável]])</f>
        <v/>
      </c>
      <c r="J3" s="3" t="str">
        <f>IF(Tabela1[[#This Row],[Tipo do Dado]]="Coil","BOOL",IF(Tabela1[[#This Row],[Tipo do Dado]]="Holding Register","INT16",""))</f>
        <v/>
      </c>
      <c r="K3" s="3" t="str">
        <f>IF(Tabela1[[#This Row],[Comunicação]]="Leitura","Read",IF(Tabela1[[#This Row],[Comunicação]]="Escrita + Leitura","ReadWrite",""))</f>
        <v/>
      </c>
      <c r="L3" s="3" t="str">
        <f>Tabela1[[#This Row],[Tipo de dados
(Marcação)]]</f>
        <v/>
      </c>
      <c r="M3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4" spans="1:13" x14ac:dyDescent="0.3">
      <c r="A4" s="4" t="s">
        <v>1</v>
      </c>
      <c r="B4" s="2" t="s">
        <v>70</v>
      </c>
      <c r="C4" s="3" t="s">
        <v>36</v>
      </c>
      <c r="D4" s="3" t="s">
        <v>65</v>
      </c>
      <c r="E4" s="3" t="str">
        <f>IF(Tabela1[[#This Row],[Comunicação]]="-","",CONCATENATE("UserPrg.",Tabela1[[#This Row],[Variável]]))</f>
        <v>UserPrg.EMERGENCIA</v>
      </c>
      <c r="F4" s="3" t="str">
        <f>IF(Tabela1[[#This Row],[Comunicação]]="-","",IF(Tabela1[[#This Row],[Tipo]]="BOOL","Coil","Holding Register"))</f>
        <v>Coil</v>
      </c>
      <c r="G4" s="3">
        <v>3</v>
      </c>
      <c r="H4" s="5" t="str">
        <f>CONCATENATE("	",Tabela1[[#This Row],[Variável]],": ",Tabela1[[#This Row],[Tipo]],";")</f>
        <v xml:space="preserve">	EMERGENCIA: BOOL;</v>
      </c>
      <c r="I4" s="3" t="str">
        <f>IF(Tabela1[[#This Row],[Comunicação]]="-","",Tabela1[[#This Row],[Variável]])</f>
        <v>EMERGENCIA</v>
      </c>
      <c r="J4" s="3" t="str">
        <f>IF(Tabela1[[#This Row],[Tipo do Dado]]="Coil","BOOL",IF(Tabela1[[#This Row],[Tipo do Dado]]="Holding Register","INT16",""))</f>
        <v>BOOL</v>
      </c>
      <c r="K4" s="3" t="str">
        <f>IF(Tabela1[[#This Row],[Comunicação]]="Leitura","Read",IF(Tabela1[[#This Row],[Comunicação]]="Escrita + Leitura","ReadWrite",""))</f>
        <v>Read</v>
      </c>
      <c r="L4" s="3" t="str">
        <f>Tabela1[[#This Row],[Tipo de dados
(Marcação)]]</f>
        <v>BOOL</v>
      </c>
      <c r="M4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1:000003</v>
      </c>
    </row>
    <row r="5" spans="1:13" hidden="1" x14ac:dyDescent="0.3">
      <c r="A5" s="4" t="s">
        <v>12</v>
      </c>
      <c r="B5" s="2" t="s">
        <v>71</v>
      </c>
      <c r="C5" s="3" t="s">
        <v>37</v>
      </c>
      <c r="D5" s="3" t="s">
        <v>37</v>
      </c>
      <c r="E5" s="3" t="str">
        <f>IF(Tabela1[[#This Row],[Comunicação]]="-","",CONCATENATE("UserPrg.",Tabela1[[#This Row],[Variável]]))</f>
        <v/>
      </c>
      <c r="F5" s="3" t="str">
        <f>IF(Tabela1[[#This Row],[Comunicação]]="-","",IF(Tabela1[[#This Row],[Tipo]]="BOOL","Coil","Holding Register"))</f>
        <v/>
      </c>
      <c r="G5" s="3"/>
      <c r="H5" s="5" t="str">
        <f>CONCATENATE("	",Tabela1[[#This Row],[Variável]],": ",Tabela1[[#This Row],[Tipo]],";")</f>
        <v xml:space="preserve">	M2_Tempo: TIME;</v>
      </c>
      <c r="I5" s="3" t="str">
        <f>IF(Tabela1[[#This Row],[Comunicação]]="-","",Tabela1[[#This Row],[Variável]])</f>
        <v/>
      </c>
      <c r="J5" s="3" t="str">
        <f>IF(Tabela1[[#This Row],[Tipo do Dado]]="Coil","BOOL",IF(Tabela1[[#This Row],[Tipo do Dado]]="Holding Register","INT16",""))</f>
        <v/>
      </c>
      <c r="K5" s="3" t="str">
        <f>IF(Tabela1[[#This Row],[Comunicação]]="Leitura","Read",IF(Tabela1[[#This Row],[Comunicação]]="Escrita + Leitura","ReadWrite",""))</f>
        <v/>
      </c>
      <c r="L5" s="3" t="str">
        <f>Tabela1[[#This Row],[Tipo de dados
(Marcação)]]</f>
        <v/>
      </c>
      <c r="M5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6" spans="1:13" hidden="1" x14ac:dyDescent="0.3">
      <c r="A6" s="4" t="s">
        <v>13</v>
      </c>
      <c r="B6" s="2" t="s">
        <v>72</v>
      </c>
      <c r="C6" s="3" t="s">
        <v>37</v>
      </c>
      <c r="D6" s="3" t="s">
        <v>37</v>
      </c>
      <c r="E6" s="3" t="str">
        <f>IF(Tabela1[[#This Row],[Comunicação]]="-","",CONCATENATE("UserPrg.",Tabela1[[#This Row],[Variável]]))</f>
        <v/>
      </c>
      <c r="F6" s="3" t="str">
        <f>IF(Tabela1[[#This Row],[Comunicação]]="-","",IF(Tabela1[[#This Row],[Tipo]]="BOOL","Coil","Holding Register"))</f>
        <v/>
      </c>
      <c r="G6" s="3"/>
      <c r="H6" s="5" t="str">
        <f>CONCATENATE("	",Tabela1[[#This Row],[Variável]],": ",Tabela1[[#This Row],[Tipo]],";")</f>
        <v xml:space="preserve">	M2_Timer: TON;</v>
      </c>
      <c r="I6" s="3" t="str">
        <f>IF(Tabela1[[#This Row],[Comunicação]]="-","",Tabela1[[#This Row],[Variável]])</f>
        <v/>
      </c>
      <c r="J6" s="3" t="str">
        <f>IF(Tabela1[[#This Row],[Tipo do Dado]]="Coil","BOOL",IF(Tabela1[[#This Row],[Tipo do Dado]]="Holding Register","INT16",""))</f>
        <v/>
      </c>
      <c r="K6" s="3" t="str">
        <f>IF(Tabela1[[#This Row],[Comunicação]]="Leitura","Read",IF(Tabela1[[#This Row],[Comunicação]]="Escrita + Leitura","ReadWrite",""))</f>
        <v/>
      </c>
      <c r="L6" s="3" t="str">
        <f>Tabela1[[#This Row],[Tipo de dados
(Marcação)]]</f>
        <v/>
      </c>
      <c r="M6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7" spans="1:13" hidden="1" x14ac:dyDescent="0.3">
      <c r="A7" s="4" t="s">
        <v>14</v>
      </c>
      <c r="B7" s="2" t="s">
        <v>70</v>
      </c>
      <c r="C7" s="3" t="s">
        <v>37</v>
      </c>
      <c r="D7" s="3" t="s">
        <v>37</v>
      </c>
      <c r="E7" s="3" t="str">
        <f>IF(Tabela1[[#This Row],[Comunicação]]="-","",CONCATENATE("UserPrg.",Tabela1[[#This Row],[Variável]]))</f>
        <v/>
      </c>
      <c r="F7" s="3" t="str">
        <f>IF(Tabela1[[#This Row],[Comunicação]]="-","",IF(Tabela1[[#This Row],[Tipo]]="BOOL","Coil","Holding Register"))</f>
        <v/>
      </c>
      <c r="G7" s="3"/>
      <c r="H7" s="5" t="str">
        <f>CONCATENATE("	",Tabela1[[#This Row],[Variável]],": ",Tabela1[[#This Row],[Tipo]],";")</f>
        <v xml:space="preserve">	M3_Dir: BOOL;</v>
      </c>
      <c r="I7" s="3" t="str">
        <f>IF(Tabela1[[#This Row],[Comunicação]]="-","",Tabela1[[#This Row],[Variável]])</f>
        <v/>
      </c>
      <c r="J7" s="3" t="str">
        <f>IF(Tabela1[[#This Row],[Tipo do Dado]]="Coil","BOOL",IF(Tabela1[[#This Row],[Tipo do Dado]]="Holding Register","INT16",""))</f>
        <v/>
      </c>
      <c r="K7" s="3" t="str">
        <f>IF(Tabela1[[#This Row],[Comunicação]]="Leitura","Read",IF(Tabela1[[#This Row],[Comunicação]]="Escrita + Leitura","ReadWrite",""))</f>
        <v/>
      </c>
      <c r="L7" s="3" t="str">
        <f>Tabela1[[#This Row],[Tipo de dados
(Marcação)]]</f>
        <v/>
      </c>
      <c r="M7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8" spans="1:13" hidden="1" x14ac:dyDescent="0.3">
      <c r="A8" s="4" t="s">
        <v>16</v>
      </c>
      <c r="B8" s="2" t="s">
        <v>70</v>
      </c>
      <c r="C8" s="3" t="s">
        <v>37</v>
      </c>
      <c r="D8" s="3" t="s">
        <v>37</v>
      </c>
      <c r="E8" s="3" t="str">
        <f>IF(Tabela1[[#This Row],[Comunicação]]="-","",CONCATENATE("UserPrg.",Tabela1[[#This Row],[Variável]]))</f>
        <v/>
      </c>
      <c r="F8" s="3" t="str">
        <f>IF(Tabela1[[#This Row],[Comunicação]]="-","",IF(Tabela1[[#This Row],[Tipo]]="BOOL","Coil","Holding Register"))</f>
        <v/>
      </c>
      <c r="G8" s="3"/>
      <c r="H8" s="5" t="str">
        <f>CONCATENATE("	",Tabela1[[#This Row],[Variável]],": ",Tabela1[[#This Row],[Tipo]],";")</f>
        <v xml:space="preserve">	M3_Ligado: BOOL;</v>
      </c>
      <c r="I8" s="3" t="str">
        <f>IF(Tabela1[[#This Row],[Comunicação]]="-","",Tabela1[[#This Row],[Variável]])</f>
        <v/>
      </c>
      <c r="J8" s="3" t="str">
        <f>IF(Tabela1[[#This Row],[Tipo do Dado]]="Coil","BOOL",IF(Tabela1[[#This Row],[Tipo do Dado]]="Holding Register","INT16",""))</f>
        <v/>
      </c>
      <c r="K8" s="3" t="str">
        <f>IF(Tabela1[[#This Row],[Comunicação]]="Leitura","Read",IF(Tabela1[[#This Row],[Comunicação]]="Escrita + Leitura","ReadWrite",""))</f>
        <v/>
      </c>
      <c r="L8" s="3" t="str">
        <f>Tabela1[[#This Row],[Tipo de dados
(Marcação)]]</f>
        <v/>
      </c>
      <c r="M8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9" spans="1:13" x14ac:dyDescent="0.3">
      <c r="A9" s="4" t="s">
        <v>2</v>
      </c>
      <c r="B9" s="2" t="s">
        <v>70</v>
      </c>
      <c r="C9" s="3" t="s">
        <v>36</v>
      </c>
      <c r="D9" s="3" t="s">
        <v>66</v>
      </c>
      <c r="E9" s="3" t="str">
        <f>IF(Tabela1[[#This Row],[Comunicação]]="-","",CONCATENATE("UserPrg.",Tabela1[[#This Row],[Variável]]))</f>
        <v>UserPrg.Geral_Desliga</v>
      </c>
      <c r="F9" s="3" t="str">
        <f>IF(Tabela1[[#This Row],[Comunicação]]="-","",IF(Tabela1[[#This Row],[Tipo]]="BOOL","Coil","Holding Register"))</f>
        <v>Coil</v>
      </c>
      <c r="G9" s="3">
        <v>4</v>
      </c>
      <c r="H9" s="5" t="str">
        <f>CONCATENATE("	",Tabela1[[#This Row],[Variável]],": ",Tabela1[[#This Row],[Tipo]],";")</f>
        <v xml:space="preserve">	Geral_Desliga: BOOL;</v>
      </c>
      <c r="I9" s="3" t="str">
        <f>IF(Tabela1[[#This Row],[Comunicação]]="-","",Tabela1[[#This Row],[Variável]])</f>
        <v>Geral_Desliga</v>
      </c>
      <c r="J9" s="3" t="str">
        <f>IF(Tabela1[[#This Row],[Tipo do Dado]]="Coil","BOOL",IF(Tabela1[[#This Row],[Tipo do Dado]]="Holding Register","INT16",""))</f>
        <v>BOOL</v>
      </c>
      <c r="K9" s="3" t="str">
        <f>IF(Tabela1[[#This Row],[Comunicação]]="Leitura","Read",IF(Tabela1[[#This Row],[Comunicação]]="Escrita + Leitura","ReadWrite",""))</f>
        <v>ReadWrite</v>
      </c>
      <c r="L9" s="3" t="str">
        <f>Tabela1[[#This Row],[Tipo de dados
(Marcação)]]</f>
        <v>BOOL</v>
      </c>
      <c r="M9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1:000004</v>
      </c>
    </row>
    <row r="10" spans="1:13" hidden="1" x14ac:dyDescent="0.3">
      <c r="A10" s="4" t="s">
        <v>19</v>
      </c>
      <c r="B10" s="2" t="s">
        <v>70</v>
      </c>
      <c r="C10" s="3" t="s">
        <v>37</v>
      </c>
      <c r="D10" s="3" t="s">
        <v>37</v>
      </c>
      <c r="E10" s="3" t="str">
        <f>IF(Tabela1[[#This Row],[Comunicação]]="-","",CONCATENATE("UserPrg.",Tabela1[[#This Row],[Variável]]))</f>
        <v/>
      </c>
      <c r="F10" s="3" t="str">
        <f>IF(Tabela1[[#This Row],[Comunicação]]="-","",IF(Tabela1[[#This Row],[Tipo]]="BOOL","Coil","Holding Register"))</f>
        <v/>
      </c>
      <c r="G10" s="3"/>
      <c r="H10" s="5" t="str">
        <f>CONCATENATE("	",Tabela1[[#This Row],[Variável]],": ",Tabela1[[#This Row],[Tipo]],";")</f>
        <v xml:space="preserve">	M3_Rev: BOOL;</v>
      </c>
      <c r="I10" s="3" t="str">
        <f>IF(Tabela1[[#This Row],[Comunicação]]="-","",Tabela1[[#This Row],[Variável]])</f>
        <v/>
      </c>
      <c r="J10" s="3" t="str">
        <f>IF(Tabela1[[#This Row],[Tipo do Dado]]="Coil","BOOL",IF(Tabela1[[#This Row],[Tipo do Dado]]="Holding Register","INT16",""))</f>
        <v/>
      </c>
      <c r="K10" s="3" t="str">
        <f>IF(Tabela1[[#This Row],[Comunicação]]="Leitura","Read",IF(Tabela1[[#This Row],[Comunicação]]="Escrita + Leitura","ReadWrite",""))</f>
        <v/>
      </c>
      <c r="L10" s="3" t="str">
        <f>Tabela1[[#This Row],[Tipo de dados
(Marcação)]]</f>
        <v/>
      </c>
      <c r="M10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11" spans="1:13" hidden="1" x14ac:dyDescent="0.3">
      <c r="A11" s="4" t="s">
        <v>50</v>
      </c>
      <c r="B11" s="2" t="s">
        <v>72</v>
      </c>
      <c r="C11" s="3" t="s">
        <v>37</v>
      </c>
      <c r="D11" s="3" t="s">
        <v>37</v>
      </c>
      <c r="E11" s="3" t="str">
        <f>IF(Tabela1[[#This Row],[Comunicação]]="-","",CONCATENATE("UserPrg.",Tabela1[[#This Row],[Variável]]))</f>
        <v/>
      </c>
      <c r="F11" s="3" t="str">
        <f>IF(Tabela1[[#This Row],[Comunicação]]="-","",IF(Tabela1[[#This Row],[Tipo]]="BOOL","Coil","Holding Register"))</f>
        <v/>
      </c>
      <c r="G11" s="3"/>
      <c r="H11" s="5" t="str">
        <f>CONCATENATE("	",Tabela1[[#This Row],[Variável]],": ",Tabela1[[#This Row],[Tipo]],";")</f>
        <v xml:space="preserve">	M3_TimerDirRev: TON;</v>
      </c>
      <c r="I11" s="3" t="str">
        <f>IF(Tabela1[[#This Row],[Comunicação]]="-","",Tabela1[[#This Row],[Variável]])</f>
        <v/>
      </c>
      <c r="J11" s="3" t="str">
        <f>IF(Tabela1[[#This Row],[Tipo do Dado]]="Coil","BOOL",IF(Tabela1[[#This Row],[Tipo do Dado]]="Holding Register","INT16",""))</f>
        <v/>
      </c>
      <c r="K11" s="3" t="str">
        <f>IF(Tabela1[[#This Row],[Comunicação]]="Leitura","Read",IF(Tabela1[[#This Row],[Comunicação]]="Escrita + Leitura","ReadWrite",""))</f>
        <v/>
      </c>
      <c r="L11" s="3" t="str">
        <f>Tabela1[[#This Row],[Tipo de dados
(Marcação)]]</f>
        <v/>
      </c>
      <c r="M11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12" spans="1:13" hidden="1" x14ac:dyDescent="0.3">
      <c r="A12" s="4" t="s">
        <v>51</v>
      </c>
      <c r="B12" s="2" t="s">
        <v>71</v>
      </c>
      <c r="C12" s="3" t="s">
        <v>37</v>
      </c>
      <c r="D12" s="3" t="s">
        <v>37</v>
      </c>
      <c r="E12" s="3" t="str">
        <f>IF(Tabela1[[#This Row],[Comunicação]]="-","",CONCATENATE("UserPrg.",Tabela1[[#This Row],[Variável]]))</f>
        <v/>
      </c>
      <c r="F12" s="3" t="str">
        <f>IF(Tabela1[[#This Row],[Comunicação]]="-","",IF(Tabela1[[#This Row],[Tipo]]="BOOL","Coil","Holding Register"))</f>
        <v/>
      </c>
      <c r="G12" s="3"/>
      <c r="H12" s="5" t="str">
        <f>CONCATENATE("	",Tabela1[[#This Row],[Variável]],": ",Tabela1[[#This Row],[Tipo]],";")</f>
        <v xml:space="preserve">	M3_TimerDirRev_Tempo: TIME;</v>
      </c>
      <c r="I12" s="3" t="str">
        <f>IF(Tabela1[[#This Row],[Comunicação]]="-","",Tabela1[[#This Row],[Variável]])</f>
        <v/>
      </c>
      <c r="J12" s="3" t="str">
        <f>IF(Tabela1[[#This Row],[Tipo do Dado]]="Coil","BOOL",IF(Tabela1[[#This Row],[Tipo do Dado]]="Holding Register","INT16",""))</f>
        <v/>
      </c>
      <c r="K12" s="3" t="str">
        <f>IF(Tabela1[[#This Row],[Comunicação]]="Leitura","Read",IF(Tabela1[[#This Row],[Comunicação]]="Escrita + Leitura","ReadWrite",""))</f>
        <v/>
      </c>
      <c r="L12" s="3" t="str">
        <f>Tabela1[[#This Row],[Tipo de dados
(Marcação)]]</f>
        <v/>
      </c>
      <c r="M12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13" spans="1:13" hidden="1" x14ac:dyDescent="0.3">
      <c r="A13" s="4" t="s">
        <v>52</v>
      </c>
      <c r="B13" s="2" t="s">
        <v>72</v>
      </c>
      <c r="C13" s="3" t="s">
        <v>37</v>
      </c>
      <c r="D13" s="3" t="s">
        <v>37</v>
      </c>
      <c r="E13" s="3" t="str">
        <f>IF(Tabela1[[#This Row],[Comunicação]]="-","",CONCATENATE("UserPrg.",Tabela1[[#This Row],[Variável]]))</f>
        <v/>
      </c>
      <c r="F13" s="3" t="str">
        <f>IF(Tabela1[[#This Row],[Comunicação]]="-","",IF(Tabela1[[#This Row],[Tipo]]="BOOL","Coil","Holding Register"))</f>
        <v/>
      </c>
      <c r="G13" s="3"/>
      <c r="H13" s="5" t="str">
        <f>CONCATENATE("	",Tabela1[[#This Row],[Variável]],": ",Tabela1[[#This Row],[Tipo]],";")</f>
        <v xml:space="preserve">	M3_TimerRevStop: TON;</v>
      </c>
      <c r="I13" s="3" t="str">
        <f>IF(Tabela1[[#This Row],[Comunicação]]="-","",Tabela1[[#This Row],[Variável]])</f>
        <v/>
      </c>
      <c r="J13" s="3" t="str">
        <f>IF(Tabela1[[#This Row],[Tipo do Dado]]="Coil","BOOL",IF(Tabela1[[#This Row],[Tipo do Dado]]="Holding Register","INT16",""))</f>
        <v/>
      </c>
      <c r="K13" s="3" t="str">
        <f>IF(Tabela1[[#This Row],[Comunicação]]="Leitura","Read",IF(Tabela1[[#This Row],[Comunicação]]="Escrita + Leitura","ReadWrite",""))</f>
        <v/>
      </c>
      <c r="L13" s="3" t="str">
        <f>Tabela1[[#This Row],[Tipo de dados
(Marcação)]]</f>
        <v/>
      </c>
      <c r="M13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14" spans="1:13" hidden="1" x14ac:dyDescent="0.3">
      <c r="A14" s="4" t="s">
        <v>53</v>
      </c>
      <c r="B14" s="2" t="s">
        <v>71</v>
      </c>
      <c r="C14" s="3" t="s">
        <v>37</v>
      </c>
      <c r="D14" s="3" t="s">
        <v>37</v>
      </c>
      <c r="E14" s="3" t="str">
        <f>IF(Tabela1[[#This Row],[Comunicação]]="-","",CONCATENATE("UserPrg.",Tabela1[[#This Row],[Variável]]))</f>
        <v/>
      </c>
      <c r="F14" s="3" t="str">
        <f>IF(Tabela1[[#This Row],[Comunicação]]="-","",IF(Tabela1[[#This Row],[Tipo]]="BOOL","Coil","Holding Register"))</f>
        <v/>
      </c>
      <c r="G14" s="3"/>
      <c r="H14" s="5" t="str">
        <f>CONCATENATE("	",Tabela1[[#This Row],[Variável]],": ",Tabela1[[#This Row],[Tipo]],";")</f>
        <v xml:space="preserve">	M3_TimerRevStop_Tempo: TIME;</v>
      </c>
      <c r="I14" s="3" t="str">
        <f>IF(Tabela1[[#This Row],[Comunicação]]="-","",Tabela1[[#This Row],[Variável]])</f>
        <v/>
      </c>
      <c r="J14" s="3" t="str">
        <f>IF(Tabela1[[#This Row],[Tipo do Dado]]="Coil","BOOL",IF(Tabela1[[#This Row],[Tipo do Dado]]="Holding Register","INT16",""))</f>
        <v/>
      </c>
      <c r="K14" s="3" t="str">
        <f>IF(Tabela1[[#This Row],[Comunicação]]="Leitura","Read",IF(Tabela1[[#This Row],[Comunicação]]="Escrita + Leitura","ReadWrite",""))</f>
        <v/>
      </c>
      <c r="L14" s="3" t="str">
        <f>Tabela1[[#This Row],[Tipo de dados
(Marcação)]]</f>
        <v/>
      </c>
      <c r="M14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15" spans="1:13" x14ac:dyDescent="0.3">
      <c r="A15" s="4" t="s">
        <v>3</v>
      </c>
      <c r="B15" s="2" t="s">
        <v>70</v>
      </c>
      <c r="C15" s="3" t="s">
        <v>39</v>
      </c>
      <c r="D15" s="3" t="s">
        <v>66</v>
      </c>
      <c r="E15" s="3" t="str">
        <f>IF(Tabela1[[#This Row],[Comunicação]]="-","",CONCATENATE("UserPrg.",Tabela1[[#This Row],[Variável]]))</f>
        <v>UserPrg.Geral_Liga</v>
      </c>
      <c r="F15" s="3" t="str">
        <f>IF(Tabela1[[#This Row],[Comunicação]]="-","",IF(Tabela1[[#This Row],[Tipo]]="BOOL","Coil","Holding Register"))</f>
        <v>Coil</v>
      </c>
      <c r="G15" s="3">
        <v>5</v>
      </c>
      <c r="H15" s="5" t="str">
        <f>CONCATENATE("	",Tabela1[[#This Row],[Variável]],": ",Tabela1[[#This Row],[Tipo]],";")</f>
        <v xml:space="preserve">	Geral_Liga: BOOL;</v>
      </c>
      <c r="I15" s="3" t="str">
        <f>IF(Tabela1[[#This Row],[Comunicação]]="-","",Tabela1[[#This Row],[Variável]])</f>
        <v>Geral_Liga</v>
      </c>
      <c r="J15" s="3" t="str">
        <f>IF(Tabela1[[#This Row],[Tipo do Dado]]="Coil","BOOL",IF(Tabela1[[#This Row],[Tipo do Dado]]="Holding Register","INT16",""))</f>
        <v>BOOL</v>
      </c>
      <c r="K15" s="3" t="str">
        <f>IF(Tabela1[[#This Row],[Comunicação]]="Leitura","Read",IF(Tabela1[[#This Row],[Comunicação]]="Escrita + Leitura","ReadWrite",""))</f>
        <v>ReadWrite</v>
      </c>
      <c r="L15" s="3" t="str">
        <f>Tabela1[[#This Row],[Tipo de dados
(Marcação)]]</f>
        <v>BOOL</v>
      </c>
      <c r="M15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1:000005</v>
      </c>
    </row>
    <row r="16" spans="1:13" hidden="1" x14ac:dyDescent="0.3">
      <c r="A16" s="4" t="s">
        <v>24</v>
      </c>
      <c r="B16" s="2" t="s">
        <v>71</v>
      </c>
      <c r="C16" s="3" t="s">
        <v>37</v>
      </c>
      <c r="D16" s="3" t="s">
        <v>37</v>
      </c>
      <c r="E16" s="3" t="str">
        <f>IF(Tabela1[[#This Row],[Comunicação]]="-","",CONCATENATE("UserPrg.",Tabela1[[#This Row],[Variável]]))</f>
        <v/>
      </c>
      <c r="F16" s="3" t="str">
        <f>IF(Tabela1[[#This Row],[Comunicação]]="-","",IF(Tabela1[[#This Row],[Tipo]]="BOOL","Coil","Holding Register"))</f>
        <v/>
      </c>
      <c r="G16" s="3"/>
      <c r="H16" s="5" t="str">
        <f>CONCATENATE("	",Tabela1[[#This Row],[Variável]],": ",Tabela1[[#This Row],[Tipo]],";")</f>
        <v xml:space="preserve">	M4_Tempo: TIME;</v>
      </c>
      <c r="I16" s="3" t="str">
        <f>IF(Tabela1[[#This Row],[Comunicação]]="-","",Tabela1[[#This Row],[Variável]])</f>
        <v/>
      </c>
      <c r="J16" s="3" t="str">
        <f>IF(Tabela1[[#This Row],[Tipo do Dado]]="Coil","BOOL",IF(Tabela1[[#This Row],[Tipo do Dado]]="Holding Register","INT16",""))</f>
        <v/>
      </c>
      <c r="K16" s="3" t="str">
        <f>IF(Tabela1[[#This Row],[Comunicação]]="Leitura","Read",IF(Tabela1[[#This Row],[Comunicação]]="Escrita + Leitura","ReadWrite",""))</f>
        <v/>
      </c>
      <c r="L16" s="3" t="str">
        <f>Tabela1[[#This Row],[Tipo de dados
(Marcação)]]</f>
        <v/>
      </c>
      <c r="M16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17" spans="1:13" hidden="1" x14ac:dyDescent="0.3">
      <c r="A17" s="4" t="s">
        <v>25</v>
      </c>
      <c r="B17" s="2" t="s">
        <v>72</v>
      </c>
      <c r="C17" s="3" t="s">
        <v>37</v>
      </c>
      <c r="D17" s="3" t="s">
        <v>37</v>
      </c>
      <c r="E17" s="3" t="str">
        <f>IF(Tabela1[[#This Row],[Comunicação]]="-","",CONCATENATE("UserPrg.",Tabela1[[#This Row],[Variável]]))</f>
        <v/>
      </c>
      <c r="F17" s="3" t="str">
        <f>IF(Tabela1[[#This Row],[Comunicação]]="-","",IF(Tabela1[[#This Row],[Tipo]]="BOOL","Coil","Holding Register"))</f>
        <v/>
      </c>
      <c r="G17" s="3"/>
      <c r="H17" s="5" t="str">
        <f>CONCATENATE("	",Tabela1[[#This Row],[Variável]],": ",Tabela1[[#This Row],[Tipo]],";")</f>
        <v xml:space="preserve">	M4_Timer: TON;</v>
      </c>
      <c r="I17" s="3" t="str">
        <f>IF(Tabela1[[#This Row],[Comunicação]]="-","",Tabela1[[#This Row],[Variável]])</f>
        <v/>
      </c>
      <c r="J17" s="3" t="str">
        <f>IF(Tabela1[[#This Row],[Tipo do Dado]]="Coil","BOOL",IF(Tabela1[[#This Row],[Tipo do Dado]]="Holding Register","INT16",""))</f>
        <v/>
      </c>
      <c r="K17" s="3" t="str">
        <f>IF(Tabela1[[#This Row],[Comunicação]]="Leitura","Read",IF(Tabela1[[#This Row],[Comunicação]]="Escrita + Leitura","ReadWrite",""))</f>
        <v/>
      </c>
      <c r="L17" s="3" t="str">
        <f>Tabela1[[#This Row],[Tipo de dados
(Marcação)]]</f>
        <v/>
      </c>
      <c r="M17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18" spans="1:13" x14ac:dyDescent="0.3">
      <c r="A18" s="4" t="s">
        <v>9</v>
      </c>
      <c r="B18" s="2" t="s">
        <v>70</v>
      </c>
      <c r="C18" s="3" t="s">
        <v>43</v>
      </c>
      <c r="D18" s="3" t="s">
        <v>37</v>
      </c>
      <c r="E18" s="3" t="str">
        <f>IF(Tabela1[[#This Row],[Comunicação]]="-","",CONCATENATE("UserPrg.",Tabela1[[#This Row],[Variável]]))</f>
        <v/>
      </c>
      <c r="F18" s="3" t="str">
        <f>IF(Tabela1[[#This Row],[Comunicação]]="-","",IF(Tabela1[[#This Row],[Tipo]]="BOOL","Coil","Holding Register"))</f>
        <v/>
      </c>
      <c r="G18" s="3"/>
      <c r="H18" s="5" t="str">
        <f>CONCATENATE("	",Tabela1[[#This Row],[Variável]],": ",Tabela1[[#This Row],[Tipo]],";")</f>
        <v xml:space="preserve">	M2_Rele: BOOL;</v>
      </c>
      <c r="I18" s="3" t="str">
        <f>IF(Tabela1[[#This Row],[Comunicação]]="-","",Tabela1[[#This Row],[Variável]])</f>
        <v/>
      </c>
      <c r="J18" s="3" t="str">
        <f>IF(Tabela1[[#This Row],[Tipo do Dado]]="Coil","BOOL",IF(Tabela1[[#This Row],[Tipo do Dado]]="Holding Register","INT16",""))</f>
        <v/>
      </c>
      <c r="K18" s="3" t="str">
        <f>IF(Tabela1[[#This Row],[Comunicação]]="Leitura","Read",IF(Tabela1[[#This Row],[Comunicação]]="Escrita + Leitura","ReadWrite",""))</f>
        <v/>
      </c>
      <c r="L18" s="3" t="str">
        <f>Tabela1[[#This Row],[Tipo de dados
(Marcação)]]</f>
        <v/>
      </c>
      <c r="M18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19" spans="1:13" hidden="1" x14ac:dyDescent="0.3">
      <c r="A19" s="4" t="s">
        <v>29</v>
      </c>
      <c r="B19" s="2" t="s">
        <v>72</v>
      </c>
      <c r="C19" s="3" t="s">
        <v>37</v>
      </c>
      <c r="D19" s="3" t="s">
        <v>37</v>
      </c>
      <c r="E19" s="3" t="str">
        <f>IF(Tabela1[[#This Row],[Comunicação]]="-","",CONCATENATE("UserPrg.",Tabela1[[#This Row],[Variável]]))</f>
        <v/>
      </c>
      <c r="F19" s="3" t="str">
        <f>IF(Tabela1[[#This Row],[Comunicação]]="-","",IF(Tabela1[[#This Row],[Tipo]]="BOOL","Coil","Holding Register"))</f>
        <v/>
      </c>
      <c r="G19" s="3"/>
      <c r="H19" s="5" t="str">
        <f>CONCATENATE("	",Tabela1[[#This Row],[Variável]],": ",Tabela1[[#This Row],[Tipo]],";")</f>
        <v xml:space="preserve">	M5_TimerOff: TON;</v>
      </c>
      <c r="I19" s="3" t="str">
        <f>IF(Tabela1[[#This Row],[Comunicação]]="-","",Tabela1[[#This Row],[Variável]])</f>
        <v/>
      </c>
      <c r="J19" s="3" t="str">
        <f>IF(Tabela1[[#This Row],[Tipo do Dado]]="Coil","BOOL",IF(Tabela1[[#This Row],[Tipo do Dado]]="Holding Register","INT16",""))</f>
        <v/>
      </c>
      <c r="K19" s="3" t="str">
        <f>IF(Tabela1[[#This Row],[Comunicação]]="Leitura","Read",IF(Tabela1[[#This Row],[Comunicação]]="Escrita + Leitura","ReadWrite",""))</f>
        <v/>
      </c>
      <c r="L19" s="3" t="str">
        <f>Tabela1[[#This Row],[Tipo de dados
(Marcação)]]</f>
        <v/>
      </c>
      <c r="M19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20" spans="1:13" hidden="1" x14ac:dyDescent="0.3">
      <c r="A20" s="4" t="s">
        <v>55</v>
      </c>
      <c r="B20" s="2" t="s">
        <v>71</v>
      </c>
      <c r="C20" s="3" t="s">
        <v>37</v>
      </c>
      <c r="D20" s="3" t="s">
        <v>37</v>
      </c>
      <c r="E20" s="3" t="str">
        <f>IF(Tabela1[[#This Row],[Comunicação]]="-","",CONCATENATE("UserPrg.",Tabela1[[#This Row],[Variável]]))</f>
        <v/>
      </c>
      <c r="F20" s="3" t="str">
        <f>IF(Tabela1[[#This Row],[Comunicação]]="-","",IF(Tabela1[[#This Row],[Tipo]]="BOOL","Coil","Holding Register"))</f>
        <v/>
      </c>
      <c r="G20" s="3"/>
      <c r="H20" s="5" t="str">
        <f>CONCATENATE("	",Tabela1[[#This Row],[Variável]],": ",Tabela1[[#This Row],[Tipo]],";")</f>
        <v xml:space="preserve">	M5_TimerOff_Tempo: TIME;</v>
      </c>
      <c r="I20" s="3" t="str">
        <f>IF(Tabela1[[#This Row],[Comunicação]]="-","",Tabela1[[#This Row],[Variável]])</f>
        <v/>
      </c>
      <c r="J20" s="3" t="str">
        <f>IF(Tabela1[[#This Row],[Tipo do Dado]]="Coil","BOOL",IF(Tabela1[[#This Row],[Tipo do Dado]]="Holding Register","INT16",""))</f>
        <v/>
      </c>
      <c r="K20" s="3" t="str">
        <f>IF(Tabela1[[#This Row],[Comunicação]]="Leitura","Read",IF(Tabela1[[#This Row],[Comunicação]]="Escrita + Leitura","ReadWrite",""))</f>
        <v/>
      </c>
      <c r="L20" s="3" t="str">
        <f>Tabela1[[#This Row],[Tipo de dados
(Marcação)]]</f>
        <v/>
      </c>
      <c r="M20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21" spans="1:13" hidden="1" x14ac:dyDescent="0.3">
      <c r="A21" s="4" t="s">
        <v>30</v>
      </c>
      <c r="B21" s="2" t="s">
        <v>72</v>
      </c>
      <c r="C21" s="3" t="s">
        <v>37</v>
      </c>
      <c r="D21" s="3" t="s">
        <v>37</v>
      </c>
      <c r="E21" s="3" t="str">
        <f>IF(Tabela1[[#This Row],[Comunicação]]="-","",CONCATENATE("UserPrg.",Tabela1[[#This Row],[Variável]]))</f>
        <v/>
      </c>
      <c r="F21" s="3" t="str">
        <f>IF(Tabela1[[#This Row],[Comunicação]]="-","",IF(Tabela1[[#This Row],[Tipo]]="BOOL","Coil","Holding Register"))</f>
        <v/>
      </c>
      <c r="G21" s="3"/>
      <c r="H21" s="5" t="str">
        <f>CONCATENATE("	",Tabela1[[#This Row],[Variável]],": ",Tabela1[[#This Row],[Tipo]],";")</f>
        <v xml:space="preserve">	M5_TimerRev: TON;</v>
      </c>
      <c r="I21" s="3" t="str">
        <f>IF(Tabela1[[#This Row],[Comunicação]]="-","",Tabela1[[#This Row],[Variável]])</f>
        <v/>
      </c>
      <c r="J21" s="3" t="str">
        <f>IF(Tabela1[[#This Row],[Tipo do Dado]]="Coil","BOOL",IF(Tabela1[[#This Row],[Tipo do Dado]]="Holding Register","INT16",""))</f>
        <v/>
      </c>
      <c r="K21" s="3" t="str">
        <f>IF(Tabela1[[#This Row],[Comunicação]]="Leitura","Read",IF(Tabela1[[#This Row],[Comunicação]]="Escrita + Leitura","ReadWrite",""))</f>
        <v/>
      </c>
      <c r="L21" s="3" t="str">
        <f>Tabela1[[#This Row],[Tipo de dados
(Marcação)]]</f>
        <v/>
      </c>
      <c r="M21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22" spans="1:13" hidden="1" x14ac:dyDescent="0.3">
      <c r="A22" s="4" t="s">
        <v>54</v>
      </c>
      <c r="B22" s="2" t="s">
        <v>71</v>
      </c>
      <c r="C22" s="3" t="s">
        <v>37</v>
      </c>
      <c r="D22" s="3" t="s">
        <v>37</v>
      </c>
      <c r="E22" s="3" t="str">
        <f>IF(Tabela1[[#This Row],[Comunicação]]="-","",CONCATENATE("UserPrg.",Tabela1[[#This Row],[Variável]]))</f>
        <v/>
      </c>
      <c r="F22" s="3" t="str">
        <f>IF(Tabela1[[#This Row],[Comunicação]]="-","",IF(Tabela1[[#This Row],[Tipo]]="BOOL","Coil","Holding Register"))</f>
        <v/>
      </c>
      <c r="G22" s="3"/>
      <c r="H22" s="5" t="str">
        <f>CONCATENATE("	",Tabela1[[#This Row],[Variável]],": ",Tabela1[[#This Row],[Tipo]],";")</f>
        <v xml:space="preserve">	M5_TimerRev_Tempo: TIME;</v>
      </c>
      <c r="I22" s="3" t="str">
        <f>IF(Tabela1[[#This Row],[Comunicação]]="-","",Tabela1[[#This Row],[Variável]])</f>
        <v/>
      </c>
      <c r="J22" s="3" t="str">
        <f>IF(Tabela1[[#This Row],[Tipo do Dado]]="Coil","BOOL",IF(Tabela1[[#This Row],[Tipo do Dado]]="Holding Register","INT16",""))</f>
        <v/>
      </c>
      <c r="K22" s="3" t="str">
        <f>IF(Tabela1[[#This Row],[Comunicação]]="Leitura","Read",IF(Tabela1[[#This Row],[Comunicação]]="Escrita + Leitura","ReadWrite",""))</f>
        <v/>
      </c>
      <c r="L22" s="3" t="str">
        <f>Tabela1[[#This Row],[Tipo de dados
(Marcação)]]</f>
        <v/>
      </c>
      <c r="M22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23" spans="1:13" hidden="1" x14ac:dyDescent="0.3">
      <c r="A23" s="4" t="s">
        <v>0</v>
      </c>
      <c r="B23" s="2" t="s">
        <v>70</v>
      </c>
      <c r="C23" s="3" t="s">
        <v>37</v>
      </c>
      <c r="D23" s="3" t="s">
        <v>65</v>
      </c>
      <c r="E23" s="3" t="str">
        <f>IF(Tabela1[[#This Row],[Comunicação]]="-","",CONCATENATE("UserPrg.",Tabela1[[#This Row],[Variável]]))</f>
        <v>UserPrg.Chave</v>
      </c>
      <c r="F23" s="3" t="str">
        <f>IF(Tabela1[[#This Row],[Comunicação]]="-","",IF(Tabela1[[#This Row],[Tipo]]="BOOL","Coil","Holding Register"))</f>
        <v>Coil</v>
      </c>
      <c r="G23" s="3">
        <v>1</v>
      </c>
      <c r="H23" s="5" t="str">
        <f>CONCATENATE("	",Tabela1[[#This Row],[Variável]],": ",Tabela1[[#This Row],[Tipo]],";")</f>
        <v xml:space="preserve">	Chave: BOOL;</v>
      </c>
      <c r="I23" s="3" t="str">
        <f>IF(Tabela1[[#This Row],[Comunicação]]="-","",Tabela1[[#This Row],[Variável]])</f>
        <v>Chave</v>
      </c>
      <c r="J23" s="3" t="str">
        <f>IF(Tabela1[[#This Row],[Tipo do Dado]]="Coil","BOOL",IF(Tabela1[[#This Row],[Tipo do Dado]]="Holding Register","INT16",""))</f>
        <v>BOOL</v>
      </c>
      <c r="K23" s="3" t="str">
        <f>IF(Tabela1[[#This Row],[Comunicação]]="Leitura","Read",IF(Tabela1[[#This Row],[Comunicação]]="Escrita + Leitura","ReadWrite",""))</f>
        <v>Read</v>
      </c>
      <c r="L23" s="3" t="str">
        <f>Tabela1[[#This Row],[Tipo de dados
(Marcação)]]</f>
        <v>BOOL</v>
      </c>
      <c r="M23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1:000001</v>
      </c>
    </row>
    <row r="24" spans="1:13" hidden="1" x14ac:dyDescent="0.3">
      <c r="A24" s="4" t="s">
        <v>80</v>
      </c>
      <c r="B24" s="2" t="s">
        <v>70</v>
      </c>
      <c r="C24" s="3" t="s">
        <v>37</v>
      </c>
      <c r="D24" s="3" t="s">
        <v>66</v>
      </c>
      <c r="E24" s="3" t="str">
        <f>IF(Tabela1[[#This Row],[Comunicação]]="-","",CONCATENATE("UserPrg.",Tabela1[[#This Row],[Variável]]))</f>
        <v>UserPrg.CTRL_Local</v>
      </c>
      <c r="F24" s="3" t="str">
        <f>IF(Tabela1[[#This Row],[Comunicação]]="-","",IF(Tabela1[[#This Row],[Tipo]]="BOOL","Coil","Holding Register"))</f>
        <v>Coil</v>
      </c>
      <c r="G24" s="3">
        <v>2</v>
      </c>
      <c r="H24" s="5" t="str">
        <f>CONCATENATE("	",Tabela1[[#This Row],[Variável]],": ",Tabela1[[#This Row],[Tipo]],";")</f>
        <v xml:space="preserve">	CTRL_Local: BOOL;</v>
      </c>
      <c r="I24" s="3" t="str">
        <f>IF(Tabela1[[#This Row],[Comunicação]]="-","",Tabela1[[#This Row],[Variável]])</f>
        <v>CTRL_Local</v>
      </c>
      <c r="J24" s="3" t="str">
        <f>IF(Tabela1[[#This Row],[Tipo do Dado]]="Coil","BOOL",IF(Tabela1[[#This Row],[Tipo do Dado]]="Holding Register","INT16",""))</f>
        <v>BOOL</v>
      </c>
      <c r="K24" s="3" t="str">
        <f>IF(Tabela1[[#This Row],[Comunicação]]="Leitura","Read",IF(Tabela1[[#This Row],[Comunicação]]="Escrita + Leitura","ReadWrite",""))</f>
        <v>ReadWrite</v>
      </c>
      <c r="L24" s="3" t="str">
        <f>Tabela1[[#This Row],[Tipo de dados
(Marcação)]]</f>
        <v>BOOL</v>
      </c>
      <c r="M24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1:000002</v>
      </c>
    </row>
    <row r="25" spans="1:13" x14ac:dyDescent="0.3">
      <c r="A25" s="4" t="s">
        <v>10</v>
      </c>
      <c r="B25" s="2" t="s">
        <v>70</v>
      </c>
      <c r="C25" s="3" t="s">
        <v>46</v>
      </c>
      <c r="D25" s="3" t="s">
        <v>66</v>
      </c>
      <c r="E25" s="3" t="str">
        <f>IF(Tabela1[[#This Row],[Comunicação]]="-","",CONCATENATE("UserPrg.",Tabela1[[#This Row],[Variável]]))</f>
        <v>UserPrg.M2_SN_TanqueA</v>
      </c>
      <c r="F25" s="3" t="str">
        <f>IF(Tabela1[[#This Row],[Comunicação]]="-","",IF(Tabela1[[#This Row],[Tipo]]="BOOL","Coil","Holding Register"))</f>
        <v>Coil</v>
      </c>
      <c r="G25" s="3">
        <v>9</v>
      </c>
      <c r="H25" s="5" t="str">
        <f>CONCATENATE("	",Tabela1[[#This Row],[Variável]],": ",Tabela1[[#This Row],[Tipo]],";")</f>
        <v xml:space="preserve">	M2_SN_TanqueA: BOOL;</v>
      </c>
      <c r="I25" s="3" t="str">
        <f>IF(Tabela1[[#This Row],[Comunicação]]="-","",Tabela1[[#This Row],[Variável]])</f>
        <v>M2_SN_TanqueA</v>
      </c>
      <c r="J25" s="3" t="str">
        <f>IF(Tabela1[[#This Row],[Tipo do Dado]]="Coil","BOOL",IF(Tabela1[[#This Row],[Tipo do Dado]]="Holding Register","INT16",""))</f>
        <v>BOOL</v>
      </c>
      <c r="K25" s="3" t="str">
        <f>IF(Tabela1[[#This Row],[Comunicação]]="Leitura","Read",IF(Tabela1[[#This Row],[Comunicação]]="Escrita + Leitura","ReadWrite",""))</f>
        <v>ReadWrite</v>
      </c>
      <c r="L25" s="3" t="str">
        <f>Tabela1[[#This Row],[Tipo de dados
(Marcação)]]</f>
        <v>BOOL</v>
      </c>
      <c r="M25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1:000009</v>
      </c>
    </row>
    <row r="26" spans="1:13" x14ac:dyDescent="0.3">
      <c r="A26" s="4" t="s">
        <v>18</v>
      </c>
      <c r="B26" s="2" t="s">
        <v>70</v>
      </c>
      <c r="C26" s="3" t="s">
        <v>49</v>
      </c>
      <c r="D26" s="3" t="s">
        <v>37</v>
      </c>
      <c r="E26" s="3" t="str">
        <f>IF(Tabela1[[#This Row],[Comunicação]]="-","",CONCATENATE("UserPrg.",Tabela1[[#This Row],[Variável]]))</f>
        <v/>
      </c>
      <c r="F26" s="3" t="str">
        <f>IF(Tabela1[[#This Row],[Comunicação]]="-","",IF(Tabela1[[#This Row],[Tipo]]="BOOL","Coil","Holding Register"))</f>
        <v/>
      </c>
      <c r="G26" s="3"/>
      <c r="H26" s="5" t="str">
        <f>CONCATENATE("	",Tabela1[[#This Row],[Variável]],": ",Tabela1[[#This Row],[Tipo]],";")</f>
        <v xml:space="preserve">	M3_Rele: BOOL;</v>
      </c>
      <c r="I26" s="3" t="str">
        <f>IF(Tabela1[[#This Row],[Comunicação]]="-","",Tabela1[[#This Row],[Variável]])</f>
        <v/>
      </c>
      <c r="J26" s="3" t="str">
        <f>IF(Tabela1[[#This Row],[Tipo do Dado]]="Coil","BOOL",IF(Tabela1[[#This Row],[Tipo do Dado]]="Holding Register","INT16",""))</f>
        <v/>
      </c>
      <c r="K26" s="3" t="str">
        <f>IF(Tabela1[[#This Row],[Comunicação]]="Leitura","Read",IF(Tabela1[[#This Row],[Comunicação]]="Escrita + Leitura","ReadWrite",""))</f>
        <v/>
      </c>
      <c r="L26" s="3" t="str">
        <f>Tabela1[[#This Row],[Tipo de dados
(Marcação)]]</f>
        <v/>
      </c>
      <c r="M26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27" spans="1:13" x14ac:dyDescent="0.3">
      <c r="A27" s="4" t="s">
        <v>22</v>
      </c>
      <c r="B27" s="2" t="s">
        <v>70</v>
      </c>
      <c r="C27" s="3" t="s">
        <v>57</v>
      </c>
      <c r="D27" s="3" t="s">
        <v>37</v>
      </c>
      <c r="E27" s="3" t="str">
        <f>IF(Tabela1[[#This Row],[Comunicação]]="-","",CONCATENATE("UserPrg.",Tabela1[[#This Row],[Variável]]))</f>
        <v/>
      </c>
      <c r="F27" s="3" t="str">
        <f>IF(Tabela1[[#This Row],[Comunicação]]="-","",IF(Tabela1[[#This Row],[Tipo]]="BOOL","Coil","Holding Register"))</f>
        <v/>
      </c>
      <c r="G27" s="3"/>
      <c r="H27" s="5" t="str">
        <f>CONCATENATE("	",Tabela1[[#This Row],[Variável]],": ",Tabela1[[#This Row],[Tipo]],";")</f>
        <v xml:space="preserve">	M4_Rele: BOOL;</v>
      </c>
      <c r="I27" s="3" t="str">
        <f>IF(Tabela1[[#This Row],[Comunicação]]="-","",Tabela1[[#This Row],[Variável]])</f>
        <v/>
      </c>
      <c r="J27" s="3" t="str">
        <f>IF(Tabela1[[#This Row],[Tipo do Dado]]="Coil","BOOL",IF(Tabela1[[#This Row],[Tipo do Dado]]="Holding Register","INT16",""))</f>
        <v/>
      </c>
      <c r="K27" s="3" t="str">
        <f>IF(Tabela1[[#This Row],[Comunicação]]="Leitura","Read",IF(Tabela1[[#This Row],[Comunicação]]="Escrita + Leitura","ReadWrite",""))</f>
        <v/>
      </c>
      <c r="L27" s="3" t="str">
        <f>Tabela1[[#This Row],[Tipo de dados
(Marcação)]]</f>
        <v/>
      </c>
      <c r="M27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28" spans="1:13" x14ac:dyDescent="0.3">
      <c r="A28" s="4" t="s">
        <v>56</v>
      </c>
      <c r="B28" s="2" t="s">
        <v>70</v>
      </c>
      <c r="C28" s="3" t="s">
        <v>58</v>
      </c>
      <c r="D28" s="3" t="s">
        <v>37</v>
      </c>
      <c r="E28" s="3" t="str">
        <f>IF(Tabela1[[#This Row],[Comunicação]]="-","",CONCATENATE("UserPrg.",Tabela1[[#This Row],[Variável]]))</f>
        <v/>
      </c>
      <c r="F28" s="3" t="str">
        <f>IF(Tabela1[[#This Row],[Comunicação]]="-","",IF(Tabela1[[#This Row],[Tipo]]="BOOL","Coil","Holding Register"))</f>
        <v/>
      </c>
      <c r="G28" s="3"/>
      <c r="H28" s="5" t="str">
        <f>CONCATENATE("	",Tabela1[[#This Row],[Variável]],": ",Tabela1[[#This Row],[Tipo]],";")</f>
        <v xml:space="preserve">	M5_Rele: BOOL;</v>
      </c>
      <c r="I28" s="3" t="str">
        <f>IF(Tabela1[[#This Row],[Comunicação]]="-","",Tabela1[[#This Row],[Variável]])</f>
        <v/>
      </c>
      <c r="J28" s="3" t="str">
        <f>IF(Tabela1[[#This Row],[Tipo do Dado]]="Coil","BOOL",IF(Tabela1[[#This Row],[Tipo do Dado]]="Holding Register","INT16",""))</f>
        <v/>
      </c>
      <c r="K28" s="3" t="str">
        <f>IF(Tabela1[[#This Row],[Comunicação]]="Leitura","Read",IF(Tabela1[[#This Row],[Comunicação]]="Escrita + Leitura","ReadWrite",""))</f>
        <v/>
      </c>
      <c r="L28" s="3" t="str">
        <f>Tabela1[[#This Row],[Tipo de dados
(Marcação)]]</f>
        <v/>
      </c>
      <c r="M28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/>
      </c>
    </row>
    <row r="29" spans="1:13" x14ac:dyDescent="0.3">
      <c r="A29" s="4" t="s">
        <v>4</v>
      </c>
      <c r="B29" s="2" t="s">
        <v>70</v>
      </c>
      <c r="C29" s="3" t="s">
        <v>40</v>
      </c>
      <c r="D29" s="3" t="s">
        <v>65</v>
      </c>
      <c r="E29" s="3" t="str">
        <f>IF(Tabela1[[#This Row],[Comunicação]]="-","",CONCATENATE("UserPrg.",Tabela1[[#This Row],[Variável]]))</f>
        <v>UserPrg.M1_K1_Direta</v>
      </c>
      <c r="F29" s="3" t="str">
        <f>IF(Tabela1[[#This Row],[Comunicação]]="-","",IF(Tabela1[[#This Row],[Tipo]]="BOOL","Coil","Holding Register"))</f>
        <v>Coil</v>
      </c>
      <c r="G29" s="3">
        <v>6</v>
      </c>
      <c r="H29" s="5" t="str">
        <f>CONCATENATE("	",Tabela1[[#This Row],[Variável]],": ",Tabela1[[#This Row],[Tipo]],";")</f>
        <v xml:space="preserve">	M1_K1_Direta: BOOL;</v>
      </c>
      <c r="I29" s="3" t="str">
        <f>IF(Tabela1[[#This Row],[Comunicação]]="-","",Tabela1[[#This Row],[Variável]])</f>
        <v>M1_K1_Direta</v>
      </c>
      <c r="J29" s="3" t="str">
        <f>IF(Tabela1[[#This Row],[Tipo do Dado]]="Coil","BOOL",IF(Tabela1[[#This Row],[Tipo do Dado]]="Holding Register","INT16",""))</f>
        <v>BOOL</v>
      </c>
      <c r="K29" s="3" t="str">
        <f>IF(Tabela1[[#This Row],[Comunicação]]="Leitura","Read",IF(Tabela1[[#This Row],[Comunicação]]="Escrita + Leitura","ReadWrite",""))</f>
        <v>Read</v>
      </c>
      <c r="L29" s="3" t="str">
        <f>Tabela1[[#This Row],[Tipo de dados
(Marcação)]]</f>
        <v>BOOL</v>
      </c>
      <c r="M29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1:000006</v>
      </c>
    </row>
    <row r="30" spans="1:13" x14ac:dyDescent="0.3">
      <c r="A30" s="4" t="s">
        <v>5</v>
      </c>
      <c r="B30" s="2" t="s">
        <v>70</v>
      </c>
      <c r="C30" s="3" t="s">
        <v>41</v>
      </c>
      <c r="D30" s="3" t="s">
        <v>65</v>
      </c>
      <c r="E30" s="3" t="str">
        <f>IF(Tabela1[[#This Row],[Comunicação]]="-","",CONCATENATE("UserPrg.",Tabela1[[#This Row],[Variável]]))</f>
        <v>UserPrg.M1_K2_Estrela</v>
      </c>
      <c r="F30" s="3" t="str">
        <f>IF(Tabela1[[#This Row],[Comunicação]]="-","",IF(Tabela1[[#This Row],[Tipo]]="BOOL","Coil","Holding Register"))</f>
        <v>Coil</v>
      </c>
      <c r="G30" s="3">
        <v>7</v>
      </c>
      <c r="H30" s="5" t="str">
        <f>CONCATENATE("	",Tabela1[[#This Row],[Variável]],": ",Tabela1[[#This Row],[Tipo]],";")</f>
        <v xml:space="preserve">	M1_K2_Estrela: BOOL;</v>
      </c>
      <c r="I30" s="3" t="str">
        <f>IF(Tabela1[[#This Row],[Comunicação]]="-","",Tabela1[[#This Row],[Variável]])</f>
        <v>M1_K2_Estrela</v>
      </c>
      <c r="J30" s="3" t="str">
        <f>IF(Tabela1[[#This Row],[Tipo do Dado]]="Coil","BOOL",IF(Tabela1[[#This Row],[Tipo do Dado]]="Holding Register","INT16",""))</f>
        <v>BOOL</v>
      </c>
      <c r="K30" s="3" t="str">
        <f>IF(Tabela1[[#This Row],[Comunicação]]="Leitura","Read",IF(Tabela1[[#This Row],[Comunicação]]="Escrita + Leitura","ReadWrite",""))</f>
        <v>Read</v>
      </c>
      <c r="L30" s="3" t="str">
        <f>Tabela1[[#This Row],[Tipo de dados
(Marcação)]]</f>
        <v>BOOL</v>
      </c>
      <c r="M30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1:000007</v>
      </c>
    </row>
    <row r="31" spans="1:13" x14ac:dyDescent="0.3">
      <c r="A31" s="4" t="s">
        <v>6</v>
      </c>
      <c r="B31" s="2" t="s">
        <v>70</v>
      </c>
      <c r="C31" s="3" t="s">
        <v>42</v>
      </c>
      <c r="D31" s="3" t="s">
        <v>65</v>
      </c>
      <c r="E31" s="3" t="str">
        <f>IF(Tabela1[[#This Row],[Comunicação]]="-","",CONCATENATE("UserPrg.",Tabela1[[#This Row],[Variável]]))</f>
        <v>UserPrg.M1_K3_Triangulo</v>
      </c>
      <c r="F31" s="3" t="str">
        <f>IF(Tabela1[[#This Row],[Comunicação]]="-","",IF(Tabela1[[#This Row],[Tipo]]="BOOL","Coil","Holding Register"))</f>
        <v>Coil</v>
      </c>
      <c r="G31" s="3">
        <v>8</v>
      </c>
      <c r="H31" s="5" t="str">
        <f>CONCATENATE("	",Tabela1[[#This Row],[Variável]],": ",Tabela1[[#This Row],[Tipo]],";")</f>
        <v xml:space="preserve">	M1_K3_Triangulo: BOOL;</v>
      </c>
      <c r="I31" s="3" t="str">
        <f>IF(Tabela1[[#This Row],[Comunicação]]="-","",Tabela1[[#This Row],[Variável]])</f>
        <v>M1_K3_Triangulo</v>
      </c>
      <c r="J31" s="3" t="str">
        <f>IF(Tabela1[[#This Row],[Tipo do Dado]]="Coil","BOOL",IF(Tabela1[[#This Row],[Tipo do Dado]]="Holding Register","INT16",""))</f>
        <v>BOOL</v>
      </c>
      <c r="K31" s="3" t="str">
        <f>IF(Tabela1[[#This Row],[Comunicação]]="Leitura","Read",IF(Tabela1[[#This Row],[Comunicação]]="Escrita + Leitura","ReadWrite",""))</f>
        <v>Read</v>
      </c>
      <c r="L31" s="3" t="str">
        <f>Tabela1[[#This Row],[Tipo de dados
(Marcação)]]</f>
        <v>BOOL</v>
      </c>
      <c r="M31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1:000008</v>
      </c>
    </row>
    <row r="32" spans="1:13" x14ac:dyDescent="0.3">
      <c r="A32" s="4" t="s">
        <v>11</v>
      </c>
      <c r="B32" s="2" t="s">
        <v>70</v>
      </c>
      <c r="C32" s="3" t="s">
        <v>59</v>
      </c>
      <c r="D32" s="3" t="s">
        <v>65</v>
      </c>
      <c r="E32" s="3" t="str">
        <f>IF(Tabela1[[#This Row],[Comunicação]]="-","",CONCATENATE("UserPrg.",Tabela1[[#This Row],[Variável]]))</f>
        <v>UserPrg.M2_SoftStarter</v>
      </c>
      <c r="F32" s="3" t="str">
        <f>IF(Tabela1[[#This Row],[Comunicação]]="-","",IF(Tabela1[[#This Row],[Tipo]]="BOOL","Coil","Holding Register"))</f>
        <v>Coil</v>
      </c>
      <c r="G32" s="3">
        <v>10</v>
      </c>
      <c r="H32" s="5" t="str">
        <f>CONCATENATE("	",Tabela1[[#This Row],[Variável]],": ",Tabela1[[#This Row],[Tipo]],";")</f>
        <v xml:space="preserve">	M2_SoftStarter: BOOL;</v>
      </c>
      <c r="I32" s="3" t="str">
        <f>IF(Tabela1[[#This Row],[Comunicação]]="-","",Tabela1[[#This Row],[Variável]])</f>
        <v>M2_SoftStarter</v>
      </c>
      <c r="J32" s="3" t="str">
        <f>IF(Tabela1[[#This Row],[Tipo do Dado]]="Coil","BOOL",IF(Tabela1[[#This Row],[Tipo do Dado]]="Holding Register","INT16",""))</f>
        <v>BOOL</v>
      </c>
      <c r="K32" s="3" t="str">
        <f>IF(Tabela1[[#This Row],[Comunicação]]="Leitura","Read",IF(Tabela1[[#This Row],[Comunicação]]="Escrita + Leitura","ReadWrite",""))</f>
        <v>Read</v>
      </c>
      <c r="L32" s="3" t="str">
        <f>Tabela1[[#This Row],[Tipo de dados
(Marcação)]]</f>
        <v>BOOL</v>
      </c>
      <c r="M32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1:000010</v>
      </c>
    </row>
    <row r="33" spans="1:13" x14ac:dyDescent="0.3">
      <c r="A33" s="4" t="s">
        <v>15</v>
      </c>
      <c r="B33" s="2" t="s">
        <v>70</v>
      </c>
      <c r="C33" s="3" t="s">
        <v>44</v>
      </c>
      <c r="D33" s="3" t="s">
        <v>65</v>
      </c>
      <c r="E33" s="3" t="str">
        <f>IF(Tabela1[[#This Row],[Comunicação]]="-","",CONCATENATE("UserPrg.",Tabela1[[#This Row],[Variável]]))</f>
        <v>UserPrg.M3_GiraPara</v>
      </c>
      <c r="F33" s="3" t="str">
        <f>IF(Tabela1[[#This Row],[Comunicação]]="-","",IF(Tabela1[[#This Row],[Tipo]]="BOOL","Coil","Holding Register"))</f>
        <v>Coil</v>
      </c>
      <c r="G33" s="3">
        <v>11</v>
      </c>
      <c r="H33" s="5" t="str">
        <f>CONCATENATE("	",Tabela1[[#This Row],[Variável]],": ",Tabela1[[#This Row],[Tipo]],";")</f>
        <v xml:space="preserve">	M3_GiraPara: BOOL;</v>
      </c>
      <c r="I33" s="3" t="str">
        <f>IF(Tabela1[[#This Row],[Comunicação]]="-","",Tabela1[[#This Row],[Variável]])</f>
        <v>M3_GiraPara</v>
      </c>
      <c r="J33" s="3" t="str">
        <f>IF(Tabela1[[#This Row],[Tipo do Dado]]="Coil","BOOL",IF(Tabela1[[#This Row],[Tipo do Dado]]="Holding Register","INT16",""))</f>
        <v>BOOL</v>
      </c>
      <c r="K33" s="3" t="str">
        <f>IF(Tabela1[[#This Row],[Comunicação]]="Leitura","Read",IF(Tabela1[[#This Row],[Comunicação]]="Escrita + Leitura","ReadWrite",""))</f>
        <v>Read</v>
      </c>
      <c r="L33" s="3" t="str">
        <f>Tabela1[[#This Row],[Tipo de dados
(Marcação)]]</f>
        <v>BOOL</v>
      </c>
      <c r="M33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1:000011</v>
      </c>
    </row>
    <row r="34" spans="1:13" x14ac:dyDescent="0.3">
      <c r="A34" s="4" t="s">
        <v>20</v>
      </c>
      <c r="B34" s="2" t="s">
        <v>70</v>
      </c>
      <c r="C34" s="3" t="s">
        <v>81</v>
      </c>
      <c r="D34" s="3" t="s">
        <v>65</v>
      </c>
      <c r="E34" s="3" t="str">
        <f>IF(Tabela1[[#This Row],[Comunicação]]="-","",CONCATENATE("UserPrg.",Tabela1[[#This Row],[Variável]]))</f>
        <v>UserPrg.M3_RevOut</v>
      </c>
      <c r="F34" s="3" t="str">
        <f>IF(Tabela1[[#This Row],[Comunicação]]="-","",IF(Tabela1[[#This Row],[Tipo]]="BOOL","Coil","Holding Register"))</f>
        <v>Coil</v>
      </c>
      <c r="G34" s="3">
        <v>12</v>
      </c>
      <c r="H34" s="5" t="str">
        <f>CONCATENATE("	",Tabela1[[#This Row],[Variável]],": ",Tabela1[[#This Row],[Tipo]],";")</f>
        <v xml:space="preserve">	M3_RevOut: BOOL;</v>
      </c>
      <c r="I34" s="3" t="str">
        <f>IF(Tabela1[[#This Row],[Comunicação]]="-","",Tabela1[[#This Row],[Variável]])</f>
        <v>M3_RevOut</v>
      </c>
      <c r="J34" s="3" t="str">
        <f>IF(Tabela1[[#This Row],[Tipo do Dado]]="Coil","BOOL",IF(Tabela1[[#This Row],[Tipo do Dado]]="Holding Register","INT16",""))</f>
        <v>BOOL</v>
      </c>
      <c r="K34" s="3" t="str">
        <f>IF(Tabela1[[#This Row],[Comunicação]]="Leitura","Read",IF(Tabela1[[#This Row],[Comunicação]]="Escrita + Leitura","ReadWrite",""))</f>
        <v>Read</v>
      </c>
      <c r="L34" s="3" t="str">
        <f>Tabela1[[#This Row],[Tipo de dados
(Marcação)]]</f>
        <v>BOOL</v>
      </c>
      <c r="M34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1:000012</v>
      </c>
    </row>
    <row r="35" spans="1:13" x14ac:dyDescent="0.3">
      <c r="A35" s="4" t="s">
        <v>23</v>
      </c>
      <c r="B35" s="2" t="s">
        <v>70</v>
      </c>
      <c r="C35" s="3" t="s">
        <v>45</v>
      </c>
      <c r="D35" s="3" t="s">
        <v>65</v>
      </c>
      <c r="E35" s="3" t="str">
        <f>IF(Tabela1[[#This Row],[Comunicação]]="-","",CONCATENATE("UserPrg.",Tabela1[[#This Row],[Variável]]))</f>
        <v>UserPrg.M4_SoftStarter</v>
      </c>
      <c r="F35" s="3" t="str">
        <f>IF(Tabela1[[#This Row],[Comunicação]]="-","",IF(Tabela1[[#This Row],[Tipo]]="BOOL","Coil","Holding Register"))</f>
        <v>Coil</v>
      </c>
      <c r="G35" s="3">
        <v>13</v>
      </c>
      <c r="H35" s="5" t="str">
        <f>CONCATENATE("	",Tabela1[[#This Row],[Variável]],": ",Tabela1[[#This Row],[Tipo]],";")</f>
        <v xml:space="preserve">	M4_SoftStarter: BOOL;</v>
      </c>
      <c r="I35" s="3" t="str">
        <f>IF(Tabela1[[#This Row],[Comunicação]]="-","",Tabela1[[#This Row],[Variável]])</f>
        <v>M4_SoftStarter</v>
      </c>
      <c r="J35" s="3" t="str">
        <f>IF(Tabela1[[#This Row],[Tipo do Dado]]="Coil","BOOL",IF(Tabela1[[#This Row],[Tipo do Dado]]="Holding Register","INT16",""))</f>
        <v>BOOL</v>
      </c>
      <c r="K35" s="3" t="str">
        <f>IF(Tabela1[[#This Row],[Comunicação]]="Leitura","Read",IF(Tabela1[[#This Row],[Comunicação]]="Escrita + Leitura","ReadWrite",""))</f>
        <v>Read</v>
      </c>
      <c r="L35" s="3" t="str">
        <f>Tabela1[[#This Row],[Tipo de dados
(Marcação)]]</f>
        <v>BOOL</v>
      </c>
      <c r="M35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1:000013</v>
      </c>
    </row>
    <row r="36" spans="1:13" x14ac:dyDescent="0.3">
      <c r="A36" s="4" t="s">
        <v>26</v>
      </c>
      <c r="B36" s="2" t="s">
        <v>70</v>
      </c>
      <c r="C36" s="3" t="s">
        <v>60</v>
      </c>
      <c r="D36" s="3" t="s">
        <v>65</v>
      </c>
      <c r="E36" s="3" t="str">
        <f>IF(Tabela1[[#This Row],[Comunicação]]="-","",CONCATENATE("UserPrg.",Tabela1[[#This Row],[Variável]]))</f>
        <v>UserPrg.M5_GiraPara</v>
      </c>
      <c r="F36" s="3" t="str">
        <f>IF(Tabela1[[#This Row],[Comunicação]]="-","",IF(Tabela1[[#This Row],[Tipo]]="BOOL","Coil","Holding Register"))</f>
        <v>Coil</v>
      </c>
      <c r="G36" s="3">
        <v>14</v>
      </c>
      <c r="H36" s="5" t="str">
        <f>CONCATENATE("	",Tabela1[[#This Row],[Variável]],": ",Tabela1[[#This Row],[Tipo]],";")</f>
        <v xml:space="preserve">	M5_GiraPara: BOOL;</v>
      </c>
      <c r="I36" s="3" t="str">
        <f>IF(Tabela1[[#This Row],[Comunicação]]="-","",Tabela1[[#This Row],[Variável]])</f>
        <v>M5_GiraPara</v>
      </c>
      <c r="J36" s="3" t="str">
        <f>IF(Tabela1[[#This Row],[Tipo do Dado]]="Coil","BOOL",IF(Tabela1[[#This Row],[Tipo do Dado]]="Holding Register","INT16",""))</f>
        <v>BOOL</v>
      </c>
      <c r="K36" s="3" t="str">
        <f>IF(Tabela1[[#This Row],[Comunicação]]="Leitura","Read",IF(Tabela1[[#This Row],[Comunicação]]="Escrita + Leitura","ReadWrite",""))</f>
        <v>Read</v>
      </c>
      <c r="L36" s="3" t="str">
        <f>Tabela1[[#This Row],[Tipo de dados
(Marcação)]]</f>
        <v>BOOL</v>
      </c>
      <c r="M36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1:000014</v>
      </c>
    </row>
    <row r="37" spans="1:13" x14ac:dyDescent="0.3">
      <c r="A37" s="4" t="s">
        <v>28</v>
      </c>
      <c r="B37" s="2" t="s">
        <v>70</v>
      </c>
      <c r="C37" s="3" t="s">
        <v>61</v>
      </c>
      <c r="D37" s="3" t="s">
        <v>65</v>
      </c>
      <c r="E37" s="3" t="str">
        <f>IF(Tabela1[[#This Row],[Comunicação]]="-","",CONCATENATE("UserPrg.",Tabela1[[#This Row],[Variável]]))</f>
        <v>UserPrg.M5_RevOut</v>
      </c>
      <c r="F37" s="3" t="str">
        <f>IF(Tabela1[[#This Row],[Comunicação]]="-","",IF(Tabela1[[#This Row],[Tipo]]="BOOL","Coil","Holding Register"))</f>
        <v>Coil</v>
      </c>
      <c r="G37" s="3">
        <v>15</v>
      </c>
      <c r="H37" s="5" t="str">
        <f>CONCATENATE("	",Tabela1[[#This Row],[Variável]],": ",Tabela1[[#This Row],[Tipo]],";")</f>
        <v xml:space="preserve">	M5_RevOut: BOOL;</v>
      </c>
      <c r="I37" s="3" t="str">
        <f>IF(Tabela1[[#This Row],[Comunicação]]="-","",Tabela1[[#This Row],[Variável]])</f>
        <v>M5_RevOut</v>
      </c>
      <c r="J37" s="3" t="str">
        <f>IF(Tabela1[[#This Row],[Tipo do Dado]]="Coil","BOOL",IF(Tabela1[[#This Row],[Tipo do Dado]]="Holding Register","INT16",""))</f>
        <v>BOOL</v>
      </c>
      <c r="K37" s="3" t="str">
        <f>IF(Tabela1[[#This Row],[Comunicação]]="Leitura","Read",IF(Tabela1[[#This Row],[Comunicação]]="Escrita + Leitura","ReadWrite",""))</f>
        <v>Read</v>
      </c>
      <c r="L37" s="3" t="str">
        <f>Tabela1[[#This Row],[Tipo de dados
(Marcação)]]</f>
        <v>BOOL</v>
      </c>
      <c r="M37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1:000015</v>
      </c>
    </row>
    <row r="38" spans="1:13" x14ac:dyDescent="0.3">
      <c r="A38" s="4" t="s">
        <v>17</v>
      </c>
      <c r="B38" s="2" t="s">
        <v>73</v>
      </c>
      <c r="C38" s="3" t="s">
        <v>38</v>
      </c>
      <c r="D38" s="3" t="s">
        <v>65</v>
      </c>
      <c r="E38" s="3" t="str">
        <f>IF(Tabela1[[#This Row],[Comunicação]]="-","",CONCATENATE("UserPrg.",Tabela1[[#This Row],[Variável]]))</f>
        <v>UserPrg.M3_Ref</v>
      </c>
      <c r="F38" s="3" t="str">
        <f>IF(Tabela1[[#This Row],[Comunicação]]="-","",IF(Tabela1[[#This Row],[Tipo]]="BOOL","Coil","Holding Register"))</f>
        <v>Holding Register</v>
      </c>
      <c r="G38" s="3">
        <v>16</v>
      </c>
      <c r="H38" s="5" t="str">
        <f>CONCATENATE("	",Tabela1[[#This Row],[Variável]],": ",Tabela1[[#This Row],[Tipo]],";")</f>
        <v xml:space="preserve">	M3_Ref: INT;</v>
      </c>
      <c r="I38" s="3" t="str">
        <f>IF(Tabela1[[#This Row],[Comunicação]]="-","",Tabela1[[#This Row],[Variável]])</f>
        <v>M3_Ref</v>
      </c>
      <c r="J38" s="3" t="str">
        <f>IF(Tabela1[[#This Row],[Tipo do Dado]]="Coil","BOOL",IF(Tabela1[[#This Row],[Tipo do Dado]]="Holding Register","INT16",""))</f>
        <v>INT16</v>
      </c>
      <c r="K38" s="3" t="str">
        <f>IF(Tabela1[[#This Row],[Comunicação]]="Leitura","Read",IF(Tabela1[[#This Row],[Comunicação]]="Escrita + Leitura","ReadWrite",""))</f>
        <v>Read</v>
      </c>
      <c r="L38" s="3" t="str">
        <f>Tabela1[[#This Row],[Tipo de dados
(Marcação)]]</f>
        <v>INT16</v>
      </c>
      <c r="M38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1:400016</v>
      </c>
    </row>
    <row r="39" spans="1:13" hidden="1" x14ac:dyDescent="0.3">
      <c r="A39" s="4" t="s">
        <v>67</v>
      </c>
      <c r="B39" s="2" t="s">
        <v>73</v>
      </c>
      <c r="C39" s="3" t="s">
        <v>37</v>
      </c>
      <c r="D39" s="3" t="s">
        <v>66</v>
      </c>
      <c r="E39" s="3" t="str">
        <f>IF(Tabela1[[#This Row],[Comunicação]]="-","",CONCATENATE("UserPrg.",Tabela1[[#This Row],[Variável]]))</f>
        <v>UserPrg.M3_Ref_Remote</v>
      </c>
      <c r="F39" s="3" t="str">
        <f>IF(Tabela1[[#This Row],[Comunicação]]="-","",IF(Tabela1[[#This Row],[Tipo]]="BOOL","Coil","Holding Register"))</f>
        <v>Holding Register</v>
      </c>
      <c r="G39" s="3">
        <v>17</v>
      </c>
      <c r="H39" s="5" t="str">
        <f>CONCATENATE("	",Tabela1[[#This Row],[Variável]],": ",Tabela1[[#This Row],[Tipo]],";")</f>
        <v xml:space="preserve">	M3_Ref_Remote: INT;</v>
      </c>
      <c r="I39" s="3" t="str">
        <f>IF(Tabela1[[#This Row],[Comunicação]]="-","",Tabela1[[#This Row],[Variável]])</f>
        <v>M3_Ref_Remote</v>
      </c>
      <c r="J39" s="3" t="str">
        <f>IF(Tabela1[[#This Row],[Tipo do Dado]]="Coil","BOOL",IF(Tabela1[[#This Row],[Tipo do Dado]]="Holding Register","INT16",""))</f>
        <v>INT16</v>
      </c>
      <c r="K39" s="3" t="str">
        <f>IF(Tabela1[[#This Row],[Comunicação]]="Leitura","Read",IF(Tabela1[[#This Row],[Comunicação]]="Escrita + Leitura","ReadWrite",""))</f>
        <v>ReadWrite</v>
      </c>
      <c r="L39" s="3" t="str">
        <f>Tabela1[[#This Row],[Tipo de dados
(Marcação)]]</f>
        <v>INT16</v>
      </c>
      <c r="M39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1:400017</v>
      </c>
    </row>
    <row r="40" spans="1:13" x14ac:dyDescent="0.3">
      <c r="A40" s="4" t="s">
        <v>21</v>
      </c>
      <c r="B40" s="2" t="s">
        <v>73</v>
      </c>
      <c r="C40" s="3" t="s">
        <v>48</v>
      </c>
      <c r="D40" s="3" t="s">
        <v>65</v>
      </c>
      <c r="E40" s="3" t="str">
        <f>IF(Tabela1[[#This Row],[Comunicação]]="-","",CONCATENATE("UserPrg.",Tabela1[[#This Row],[Variável]]))</f>
        <v>UserPrg.M3_Vout</v>
      </c>
      <c r="F40" s="3" t="str">
        <f>IF(Tabela1[[#This Row],[Comunicação]]="-","",IF(Tabela1[[#This Row],[Tipo]]="BOOL","Coil","Holding Register"))</f>
        <v>Holding Register</v>
      </c>
      <c r="G40" s="3">
        <v>18</v>
      </c>
      <c r="H40" s="5" t="str">
        <f>CONCATENATE("	",Tabela1[[#This Row],[Variável]],": ",Tabela1[[#This Row],[Tipo]],";")</f>
        <v xml:space="preserve">	M3_Vout: INT;</v>
      </c>
      <c r="I40" s="3" t="str">
        <f>IF(Tabela1[[#This Row],[Comunicação]]="-","",Tabela1[[#This Row],[Variável]])</f>
        <v>M3_Vout</v>
      </c>
      <c r="J40" s="3" t="str">
        <f>IF(Tabela1[[#This Row],[Tipo do Dado]]="Coil","BOOL",IF(Tabela1[[#This Row],[Tipo do Dado]]="Holding Register","INT16",""))</f>
        <v>INT16</v>
      </c>
      <c r="K40" s="3" t="str">
        <f>IF(Tabela1[[#This Row],[Comunicação]]="Leitura","Read",IF(Tabela1[[#This Row],[Comunicação]]="Escrita + Leitura","ReadWrite",""))</f>
        <v>Read</v>
      </c>
      <c r="L40" s="3" t="str">
        <f>Tabela1[[#This Row],[Tipo de dados
(Marcação)]]</f>
        <v>INT16</v>
      </c>
      <c r="M40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1:400018</v>
      </c>
    </row>
    <row r="41" spans="1:13" x14ac:dyDescent="0.3">
      <c r="A41" s="4" t="s">
        <v>27</v>
      </c>
      <c r="B41" s="2" t="s">
        <v>73</v>
      </c>
      <c r="C41" s="3" t="s">
        <v>79</v>
      </c>
      <c r="D41" s="3" t="s">
        <v>65</v>
      </c>
      <c r="E41" s="3" t="str">
        <f>IF(Tabela1[[#This Row],[Comunicação]]="-","",CONCATENATE("UserPrg.",Tabela1[[#This Row],[Variável]]))</f>
        <v>UserPrg.M5_Ref</v>
      </c>
      <c r="F41" s="3" t="str">
        <f>IF(Tabela1[[#This Row],[Comunicação]]="-","",IF(Tabela1[[#This Row],[Tipo]]="BOOL","Coil","Holding Register"))</f>
        <v>Holding Register</v>
      </c>
      <c r="G41" s="3">
        <v>19</v>
      </c>
      <c r="H41" s="5" t="str">
        <f>CONCATENATE("	",Tabela1[[#This Row],[Variável]],": ",Tabela1[[#This Row],[Tipo]],";")</f>
        <v xml:space="preserve">	M5_Ref: INT;</v>
      </c>
      <c r="I41" s="3" t="str">
        <f>IF(Tabela1[[#This Row],[Comunicação]]="-","",Tabela1[[#This Row],[Variável]])</f>
        <v>M5_Ref</v>
      </c>
      <c r="J41" s="3" t="str">
        <f>IF(Tabela1[[#This Row],[Tipo do Dado]]="Coil","BOOL",IF(Tabela1[[#This Row],[Tipo do Dado]]="Holding Register","INT16",""))</f>
        <v>INT16</v>
      </c>
      <c r="K41" s="3" t="str">
        <f>IF(Tabela1[[#This Row],[Comunicação]]="Leitura","Read",IF(Tabela1[[#This Row],[Comunicação]]="Escrita + Leitura","ReadWrite",""))</f>
        <v>Read</v>
      </c>
      <c r="L41" s="3" t="str">
        <f>Tabela1[[#This Row],[Tipo de dados
(Marcação)]]</f>
        <v>INT16</v>
      </c>
      <c r="M41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1:400019</v>
      </c>
    </row>
    <row r="42" spans="1:13" hidden="1" x14ac:dyDescent="0.3">
      <c r="A42" s="4" t="s">
        <v>68</v>
      </c>
      <c r="B42" s="2" t="s">
        <v>73</v>
      </c>
      <c r="C42" s="3" t="s">
        <v>37</v>
      </c>
      <c r="D42" s="3" t="s">
        <v>66</v>
      </c>
      <c r="E42" s="3" t="str">
        <f>IF(Tabela1[[#This Row],[Comunicação]]="-","",CONCATENATE("UserPrg.",Tabela1[[#This Row],[Variável]]))</f>
        <v>UserPrg.M5_Ref_Remote</v>
      </c>
      <c r="F42" s="3" t="str">
        <f>IF(Tabela1[[#This Row],[Comunicação]]="-","",IF(Tabela1[[#This Row],[Tipo]]="BOOL","Coil","Holding Register"))</f>
        <v>Holding Register</v>
      </c>
      <c r="G42" s="3">
        <v>20</v>
      </c>
      <c r="H42" s="5" t="str">
        <f>CONCATENATE("	",Tabela1[[#This Row],[Variável]],": ",Tabela1[[#This Row],[Tipo]],";")</f>
        <v xml:space="preserve">	M5_Ref_Remote: INT;</v>
      </c>
      <c r="I42" s="3" t="str">
        <f>IF(Tabela1[[#This Row],[Comunicação]]="-","",Tabela1[[#This Row],[Variável]])</f>
        <v>M5_Ref_Remote</v>
      </c>
      <c r="J42" s="3" t="str">
        <f>IF(Tabela1[[#This Row],[Tipo do Dado]]="Coil","BOOL",IF(Tabela1[[#This Row],[Tipo do Dado]]="Holding Register","INT16",""))</f>
        <v>INT16</v>
      </c>
      <c r="K42" s="3" t="str">
        <f>IF(Tabela1[[#This Row],[Comunicação]]="Leitura","Read",IF(Tabela1[[#This Row],[Comunicação]]="Escrita + Leitura","ReadWrite",""))</f>
        <v>ReadWrite</v>
      </c>
      <c r="L42" s="3" t="str">
        <f>Tabela1[[#This Row],[Tipo de dados
(Marcação)]]</f>
        <v>INT16</v>
      </c>
      <c r="M42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1:400020</v>
      </c>
    </row>
    <row r="43" spans="1:13" x14ac:dyDescent="0.3">
      <c r="A43" s="4" t="s">
        <v>31</v>
      </c>
      <c r="B43" s="2" t="s">
        <v>73</v>
      </c>
      <c r="C43" s="3" t="s">
        <v>47</v>
      </c>
      <c r="D43" s="3" t="s">
        <v>65</v>
      </c>
      <c r="E43" s="3" t="str">
        <f>IF(Tabela1[[#This Row],[Comunicação]]="-","",CONCATENATE("UserPrg.",Tabela1[[#This Row],[Variável]]))</f>
        <v>UserPrg.M5_Vout</v>
      </c>
      <c r="F43" s="3" t="str">
        <f>IF(Tabela1[[#This Row],[Comunicação]]="-","",IF(Tabela1[[#This Row],[Tipo]]="BOOL","Coil","Holding Register"))</f>
        <v>Holding Register</v>
      </c>
      <c r="G43" s="3">
        <v>21</v>
      </c>
      <c r="H43" s="5" t="str">
        <f>CONCATENATE("	",Tabela1[[#This Row],[Variável]],": ",Tabela1[[#This Row],[Tipo]],";")</f>
        <v xml:space="preserve">	M5_Vout: INT;</v>
      </c>
      <c r="I43" s="3" t="str">
        <f>IF(Tabela1[[#This Row],[Comunicação]]="-","",Tabela1[[#This Row],[Variável]])</f>
        <v>M5_Vout</v>
      </c>
      <c r="J43" s="3" t="str">
        <f>IF(Tabela1[[#This Row],[Tipo do Dado]]="Coil","BOOL",IF(Tabela1[[#This Row],[Tipo do Dado]]="Holding Register","INT16",""))</f>
        <v>INT16</v>
      </c>
      <c r="K43" s="3" t="str">
        <f>IF(Tabela1[[#This Row],[Comunicação]]="Leitura","Read",IF(Tabela1[[#This Row],[Comunicação]]="Escrita + Leitura","ReadWrite",""))</f>
        <v>Read</v>
      </c>
      <c r="L43" s="3" t="str">
        <f>Tabela1[[#This Row],[Tipo de dados
(Marcação)]]</f>
        <v>INT16</v>
      </c>
      <c r="M43" s="3" t="str">
        <f>IF(Tabela1[[#This Row],[Comunicação]]="-","",CONCATENATE("1:",IF(Tabela1[[#This Row],[Tipo do Dado]]="Coil","0000","4000"),IF(Tabela1[[#This Row],[Endereço Inicial do Dado]]&lt;10,"0",""),Tabela1[[#This Row],[Endereço Inicial do Dado]]))</f>
        <v>1:400021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Campos Lopes</dc:creator>
  <cp:lastModifiedBy>Giovana Campos Lopes</cp:lastModifiedBy>
  <dcterms:created xsi:type="dcterms:W3CDTF">2025-11-01T21:28:29Z</dcterms:created>
  <dcterms:modified xsi:type="dcterms:W3CDTF">2025-11-24T04:13:06Z</dcterms:modified>
</cp:coreProperties>
</file>